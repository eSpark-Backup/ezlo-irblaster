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proiecte\Ezlo\IR Blaster\revB\BOM\"/>
    </mc:Choice>
  </mc:AlternateContent>
  <xr:revisionPtr revIDLastSave="0" documentId="13_ncr:40009_{E18839E7-0745-4041-B6E9-1C48092BBD27}" xr6:coauthVersionLast="47" xr6:coauthVersionMax="47" xr10:uidLastSave="{00000000-0000-0000-0000-000000000000}"/>
  <bookViews>
    <workbookView xWindow="-120" yWindow="-120" windowWidth="29040" windowHeight="17520"/>
  </bookViews>
  <sheets>
    <sheet name="irblaster" sheetId="1" r:id="rId1"/>
  </sheets>
  <calcPr calcId="0"/>
</workbook>
</file>

<file path=xl/calcChain.xml><?xml version="1.0" encoding="utf-8"?>
<calcChain xmlns="http://schemas.openxmlformats.org/spreadsheetml/2006/main">
  <c r="K32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" i="1"/>
  <c r="K35" i="1" l="1"/>
</calcChain>
</file>

<file path=xl/sharedStrings.xml><?xml version="1.0" encoding="utf-8"?>
<sst xmlns="http://schemas.openxmlformats.org/spreadsheetml/2006/main" count="208" uniqueCount="148">
  <si>
    <t>Ref</t>
  </si>
  <si>
    <t>Qnty</t>
  </si>
  <si>
    <t>Value</t>
  </si>
  <si>
    <t>Voltage</t>
  </si>
  <si>
    <t>Footprint</t>
  </si>
  <si>
    <t>Description</t>
  </si>
  <si>
    <t>LCSC #</t>
  </si>
  <si>
    <t xml:space="preserve">C1, </t>
  </si>
  <si>
    <t>4.7nF</t>
  </si>
  <si>
    <t>Resistor_SMD:R_0805_2012Metric</t>
  </si>
  <si>
    <t>Unpolarized capacitor</t>
  </si>
  <si>
    <t xml:space="preserve">C2, C9, </t>
  </si>
  <si>
    <t>22uF</t>
  </si>
  <si>
    <t>Capacitor_SMD:C_1206_3216Metric</t>
  </si>
  <si>
    <t>C408152</t>
  </si>
  <si>
    <t xml:space="preserve">C3, </t>
  </si>
  <si>
    <t>1uF</t>
  </si>
  <si>
    <t>Capacitor_SMD:C_0402_1005Metric</t>
  </si>
  <si>
    <t>C1592</t>
  </si>
  <si>
    <t xml:space="preserve">C4, C8, </t>
  </si>
  <si>
    <t>0.1uF</t>
  </si>
  <si>
    <t>C24452</t>
  </si>
  <si>
    <t xml:space="preserve">C5, C6, </t>
  </si>
  <si>
    <t>TBD</t>
  </si>
  <si>
    <t xml:space="preserve">C7, </t>
  </si>
  <si>
    <t>10uF</t>
  </si>
  <si>
    <t>16V</t>
  </si>
  <si>
    <t>Capacitor_SMD:C_0603_1608Metric</t>
  </si>
  <si>
    <t>C92487</t>
  </si>
  <si>
    <t xml:space="preserve">C10, C11, </t>
  </si>
  <si>
    <t>220uF</t>
  </si>
  <si>
    <t>10V</t>
  </si>
  <si>
    <t>Capacitor_SMD:CP_Elec_6.3x5.4</t>
  </si>
  <si>
    <t>Polarized capacitor, US symbol</t>
  </si>
  <si>
    <t>C267466</t>
  </si>
  <si>
    <t xml:space="preserve">C12, </t>
  </si>
  <si>
    <t>4.7uF</t>
  </si>
  <si>
    <t>C1705</t>
  </si>
  <si>
    <t xml:space="preserve">D1, </t>
  </si>
  <si>
    <t>SP0503BAHT</t>
  </si>
  <si>
    <t>Package_TO_SOT_SMD:SOT-143</t>
  </si>
  <si>
    <t>TVS Diode Array, 5.5V Standoff, 3 Channels, SOT-143 package</t>
  </si>
  <si>
    <t>C2682275</t>
  </si>
  <si>
    <t xml:space="preserve">D2, </t>
  </si>
  <si>
    <t>RED</t>
  </si>
  <si>
    <t>LED_SMD:LED_0603_1608Metric</t>
  </si>
  <si>
    <t>Light emitting diode</t>
  </si>
  <si>
    <t xml:space="preserve">D3, </t>
  </si>
  <si>
    <t>GREEN</t>
  </si>
  <si>
    <t xml:space="preserve">D4, D5, D6, D7, D8, D9, D10, D11, </t>
  </si>
  <si>
    <t>IR333-A</t>
  </si>
  <si>
    <t>LED_THT:LED_D5.0mm</t>
  </si>
  <si>
    <t>Light emitting diode, filled shape</t>
  </si>
  <si>
    <t>C95407</t>
  </si>
  <si>
    <t xml:space="preserve">F1, </t>
  </si>
  <si>
    <t>1A</t>
  </si>
  <si>
    <t>Fuse:Fuse_0603_1608Metric</t>
  </si>
  <si>
    <t>Resettable fuse, polymeric positive temperature coefficient</t>
  </si>
  <si>
    <t>C2757929</t>
  </si>
  <si>
    <t xml:space="preserve">H1, H2, </t>
  </si>
  <si>
    <t>MountingHole</t>
  </si>
  <si>
    <t>MountingHole:MountingHole_2.2mm_M2</t>
  </si>
  <si>
    <t xml:space="preserve">J1, </t>
  </si>
  <si>
    <t>USB_C_Receptacle_USB2.0</t>
  </si>
  <si>
    <t>Connector_USB:USB_C_Receptacle_HRO_TYPE-C-31-M-12</t>
  </si>
  <si>
    <t>USB 2.0-only Type-C Receptacle connector</t>
  </si>
  <si>
    <t>C165948</t>
  </si>
  <si>
    <t xml:space="preserve">J2, </t>
  </si>
  <si>
    <t>VoltLink_target</t>
  </si>
  <si>
    <t>Voltlog:VoltLink-vertical</t>
  </si>
  <si>
    <t>Voltlog Link ESP programming header, pinout designed for target side.</t>
  </si>
  <si>
    <t xml:space="preserve">N1, </t>
  </si>
  <si>
    <t>Housing</t>
  </si>
  <si>
    <t xml:space="preserve">Q1, </t>
  </si>
  <si>
    <t>YJL2302B</t>
  </si>
  <si>
    <t>Package_TO_SOT_SMD:SOT-23</t>
  </si>
  <si>
    <t>4.2A Id, 20V Vds, N-Channel MOSFET, SOT-23</t>
  </si>
  <si>
    <t>C699316</t>
  </si>
  <si>
    <t xml:space="preserve">R1, R7, R14, </t>
  </si>
  <si>
    <t>10K</t>
  </si>
  <si>
    <t>Resistor_SMD:R_0402_1005Metric</t>
  </si>
  <si>
    <t>Resistor, US symbol</t>
  </si>
  <si>
    <t xml:space="preserve">R2, </t>
  </si>
  <si>
    <t>1M</t>
  </si>
  <si>
    <t xml:space="preserve">R3, R4, </t>
  </si>
  <si>
    <t>5K1</t>
  </si>
  <si>
    <t xml:space="preserve">R5, R6, </t>
  </si>
  <si>
    <t>330R</t>
  </si>
  <si>
    <t xml:space="preserve">R8, R9, </t>
  </si>
  <si>
    <t>100R</t>
  </si>
  <si>
    <t xml:space="preserve">R10, R11, R12, R13, </t>
  </si>
  <si>
    <t>27R</t>
  </si>
  <si>
    <t>Resistor_SMD:R_1210_3225Metric</t>
  </si>
  <si>
    <t xml:space="preserve">SW1, </t>
  </si>
  <si>
    <t>USER</t>
  </si>
  <si>
    <t>Ezlo:Switch_YTS-B003-2A</t>
  </si>
  <si>
    <t>Push button switch, generic, two pins</t>
  </si>
  <si>
    <t>C2910695</t>
  </si>
  <si>
    <t xml:space="preserve">U1, </t>
  </si>
  <si>
    <t>ESP32-S3-WROOM-1</t>
  </si>
  <si>
    <t>Espressif:ESP32-S3-WROOM-1</t>
  </si>
  <si>
    <t>C2913197</t>
  </si>
  <si>
    <t xml:space="preserve">U2, </t>
  </si>
  <si>
    <t>LR1107</t>
  </si>
  <si>
    <t>Package_TO_SOT_SMD:SOT-89-3</t>
  </si>
  <si>
    <t>600mA FAST ULTRA LOW Dropout Regulator</t>
  </si>
  <si>
    <t>C171498</t>
  </si>
  <si>
    <t xml:space="preserve">U3, </t>
  </si>
  <si>
    <t>IRM-H638T/TR2</t>
  </si>
  <si>
    <t>Package_SO:SO-4_4.4x4.3mm_P2.54mm</t>
  </si>
  <si>
    <t>Photo Modules for PCM Remote Control Systems</t>
  </si>
  <si>
    <t>C91447</t>
  </si>
  <si>
    <t xml:space="preserve">U4, </t>
  </si>
  <si>
    <t>IRM-3638T</t>
  </si>
  <si>
    <t>OptoDevice:Vishay_MINICAST-3Pin</t>
  </si>
  <si>
    <t>C16216</t>
  </si>
  <si>
    <t>Assembly</t>
  </si>
  <si>
    <t>YES</t>
  </si>
  <si>
    <t>DNP</t>
  </si>
  <si>
    <t>PCB</t>
  </si>
  <si>
    <t>LCSC cost/unit
@10K</t>
  </si>
  <si>
    <t>Subtotal</t>
  </si>
  <si>
    <t>BOM IR Blaster revB - list updated 3-Oct-2022 (prices updated 28-mar-2022)</t>
  </si>
  <si>
    <t>C107198</t>
  </si>
  <si>
    <t>CC1206KKX7RCBB472</t>
  </si>
  <si>
    <t>GRM31CR70J226KE19L</t>
  </si>
  <si>
    <t>CL10A105KO8NNNC</t>
  </si>
  <si>
    <t>CL10B104JB8NNNC</t>
  </si>
  <si>
    <t>CL10A106MO8NQNC</t>
  </si>
  <si>
    <t>RT1A221M0605</t>
  </si>
  <si>
    <t>CL10A475KP8NNNC</t>
  </si>
  <si>
    <t>Mfr PN</t>
  </si>
  <si>
    <t>TPSP0503BAHTG</t>
  </si>
  <si>
    <t>C90692</t>
  </si>
  <si>
    <t>NCD0603R2</t>
  </si>
  <si>
    <t>C84267</t>
  </si>
  <si>
    <t>NCD0603G1</t>
  </si>
  <si>
    <t>BSMD0603L-100</t>
  </si>
  <si>
    <t>TYPE-C-31-M-12</t>
  </si>
  <si>
    <t>GENERIC 1%</t>
  </si>
  <si>
    <t>&lt;- Digikey fixed prixing, direct purchase from Espressif is likely lower than this</t>
  </si>
  <si>
    <t>LR1107G-33-AB3-C-R</t>
  </si>
  <si>
    <t>custom</t>
  </si>
  <si>
    <t>PCB FR4 2L TG130 1.6mm HASL 49.75*41.5mm</t>
  </si>
  <si>
    <t>TOTAL</t>
  </si>
  <si>
    <t>&lt;- We can assemble one or the other U3 vs U4 depending on which one is cheaper and/or available</t>
  </si>
  <si>
    <t>YTS-B003-2A</t>
  </si>
  <si>
    <t>Screws Philips M2x4mm Self Tapping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</si>
</sst>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(&quot;$&quot;* #,##0.0000_);_(&quot;$&quot;* \(#,##0.0000\);_(&quot;$&quot;* &quot;-&quot;??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0" fillId="0" borderId="0" xfId="0" applyAlignment="1">
      <alignment wrapText="1"/>
    </xf>
    <xf numFmtId="0" fontId="7" fillId="3" borderId="0" xfId="8"/>
    <xf numFmtId="0" fontId="16" fillId="0" borderId="0" xfId="0" applyFont="1" applyAlignment="1">
      <alignment wrapText="1"/>
    </xf>
    <xf numFmtId="0" fontId="14" fillId="0" borderId="0" xfId="0" applyFont="1"/>
    <xf numFmtId="164" fontId="16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workbookViewId="0">
      <selection activeCell="N34" sqref="N34"/>
    </sheetView>
  </sheetViews>
  <sheetFormatPr defaultRowHeight="15" x14ac:dyDescent="0.25"/>
  <cols>
    <col min="5" max="5" width="32.28515625" customWidth="1"/>
    <col min="9" max="9" width="20.42578125" bestFit="1" customWidth="1"/>
  </cols>
  <sheetData>
    <row r="1" spans="1:11" x14ac:dyDescent="0.25">
      <c r="A1" t="s">
        <v>122</v>
      </c>
    </row>
    <row r="2" spans="1:11" ht="4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116</v>
      </c>
      <c r="H2" s="1" t="s">
        <v>6</v>
      </c>
      <c r="I2" s="1" t="s">
        <v>131</v>
      </c>
      <c r="J2" s="4" t="s">
        <v>120</v>
      </c>
      <c r="K2" s="1" t="s">
        <v>121</v>
      </c>
    </row>
    <row r="3" spans="1:11" x14ac:dyDescent="0.25">
      <c r="A3" t="s">
        <v>7</v>
      </c>
      <c r="B3">
        <v>1</v>
      </c>
      <c r="C3" t="s">
        <v>8</v>
      </c>
      <c r="E3" t="s">
        <v>9</v>
      </c>
      <c r="F3" t="s">
        <v>10</v>
      </c>
      <c r="G3" t="s">
        <v>117</v>
      </c>
      <c r="H3" t="s">
        <v>123</v>
      </c>
      <c r="I3" t="s">
        <v>124</v>
      </c>
      <c r="J3">
        <v>1.7100000000000001E-2</v>
      </c>
      <c r="K3">
        <f>SUM(B3*J3)</f>
        <v>1.7100000000000001E-2</v>
      </c>
    </row>
    <row r="4" spans="1:11" x14ac:dyDescent="0.25">
      <c r="A4" t="s">
        <v>11</v>
      </c>
      <c r="B4">
        <v>2</v>
      </c>
      <c r="C4" t="s">
        <v>12</v>
      </c>
      <c r="E4" t="s">
        <v>13</v>
      </c>
      <c r="F4" t="s">
        <v>10</v>
      </c>
      <c r="G4" t="s">
        <v>117</v>
      </c>
      <c r="H4" t="s">
        <v>14</v>
      </c>
      <c r="I4" t="s">
        <v>125</v>
      </c>
      <c r="J4">
        <v>0.1522</v>
      </c>
      <c r="K4">
        <f t="shared" ref="K4:K32" si="0">SUM(B4*J4)</f>
        <v>0.3044</v>
      </c>
    </row>
    <row r="5" spans="1:11" x14ac:dyDescent="0.25">
      <c r="A5" t="s">
        <v>15</v>
      </c>
      <c r="B5">
        <v>1</v>
      </c>
      <c r="C5" t="s">
        <v>16</v>
      </c>
      <c r="E5" t="s">
        <v>17</v>
      </c>
      <c r="F5" t="s">
        <v>10</v>
      </c>
      <c r="G5" t="s">
        <v>117</v>
      </c>
      <c r="H5" t="s">
        <v>18</v>
      </c>
      <c r="I5" t="s">
        <v>126</v>
      </c>
      <c r="J5">
        <v>2.3E-3</v>
      </c>
      <c r="K5">
        <f t="shared" si="0"/>
        <v>2.3E-3</v>
      </c>
    </row>
    <row r="6" spans="1:11" x14ac:dyDescent="0.25">
      <c r="A6" t="s">
        <v>19</v>
      </c>
      <c r="B6">
        <v>2</v>
      </c>
      <c r="C6" t="s">
        <v>20</v>
      </c>
      <c r="E6" t="s">
        <v>17</v>
      </c>
      <c r="F6" t="s">
        <v>10</v>
      </c>
      <c r="G6" t="s">
        <v>117</v>
      </c>
      <c r="H6" t="s">
        <v>21</v>
      </c>
      <c r="I6" t="s">
        <v>127</v>
      </c>
      <c r="J6">
        <v>6.4999999999999997E-3</v>
      </c>
      <c r="K6">
        <f t="shared" si="0"/>
        <v>1.2999999999999999E-2</v>
      </c>
    </row>
    <row r="7" spans="1:11" x14ac:dyDescent="0.25">
      <c r="A7" s="3" t="s">
        <v>22</v>
      </c>
      <c r="B7" s="3">
        <v>2</v>
      </c>
      <c r="C7" s="3" t="s">
        <v>23</v>
      </c>
      <c r="D7" s="3"/>
      <c r="E7" s="3" t="s">
        <v>17</v>
      </c>
      <c r="F7" s="3" t="s">
        <v>10</v>
      </c>
      <c r="G7" s="3" t="s">
        <v>118</v>
      </c>
      <c r="H7" s="3"/>
      <c r="I7" s="3"/>
      <c r="J7" s="3">
        <v>0</v>
      </c>
      <c r="K7" s="3">
        <f t="shared" si="0"/>
        <v>0</v>
      </c>
    </row>
    <row r="8" spans="1:11" x14ac:dyDescent="0.25">
      <c r="A8" t="s">
        <v>24</v>
      </c>
      <c r="B8">
        <v>1</v>
      </c>
      <c r="C8" t="s">
        <v>25</v>
      </c>
      <c r="D8" t="s">
        <v>26</v>
      </c>
      <c r="E8" t="s">
        <v>27</v>
      </c>
      <c r="F8" t="s">
        <v>10</v>
      </c>
      <c r="G8" t="s">
        <v>117</v>
      </c>
      <c r="H8" t="s">
        <v>28</v>
      </c>
      <c r="I8" t="s">
        <v>128</v>
      </c>
      <c r="J8">
        <v>1.11E-2</v>
      </c>
      <c r="K8">
        <f t="shared" si="0"/>
        <v>1.11E-2</v>
      </c>
    </row>
    <row r="9" spans="1:11" x14ac:dyDescent="0.25">
      <c r="A9" t="s">
        <v>29</v>
      </c>
      <c r="B9">
        <v>2</v>
      </c>
      <c r="C9" t="s">
        <v>30</v>
      </c>
      <c r="D9" t="s">
        <v>31</v>
      </c>
      <c r="E9" t="s">
        <v>32</v>
      </c>
      <c r="F9" t="s">
        <v>33</v>
      </c>
      <c r="G9" t="s">
        <v>117</v>
      </c>
      <c r="H9" t="s">
        <v>34</v>
      </c>
      <c r="I9" t="s">
        <v>129</v>
      </c>
      <c r="J9">
        <v>1.89E-2</v>
      </c>
      <c r="K9">
        <f t="shared" si="0"/>
        <v>3.78E-2</v>
      </c>
    </row>
    <row r="10" spans="1:11" x14ac:dyDescent="0.25">
      <c r="A10" t="s">
        <v>35</v>
      </c>
      <c r="B10">
        <v>1</v>
      </c>
      <c r="C10" t="s">
        <v>36</v>
      </c>
      <c r="E10" t="s">
        <v>17</v>
      </c>
      <c r="F10" t="s">
        <v>10</v>
      </c>
      <c r="G10" t="s">
        <v>117</v>
      </c>
      <c r="H10" t="s">
        <v>37</v>
      </c>
      <c r="I10" t="s">
        <v>130</v>
      </c>
      <c r="J10">
        <v>3.5999999999999999E-3</v>
      </c>
      <c r="K10">
        <f t="shared" si="0"/>
        <v>3.5999999999999999E-3</v>
      </c>
    </row>
    <row r="11" spans="1:11" x14ac:dyDescent="0.25">
      <c r="A11" t="s">
        <v>38</v>
      </c>
      <c r="B11">
        <v>1</v>
      </c>
      <c r="C11" t="s">
        <v>39</v>
      </c>
      <c r="E11" t="s">
        <v>40</v>
      </c>
      <c r="F11" t="s">
        <v>41</v>
      </c>
      <c r="G11" t="s">
        <v>117</v>
      </c>
      <c r="H11" t="s">
        <v>42</v>
      </c>
      <c r="I11" t="s">
        <v>132</v>
      </c>
      <c r="J11">
        <v>6.0499999999999998E-2</v>
      </c>
      <c r="K11">
        <f t="shared" si="0"/>
        <v>6.0499999999999998E-2</v>
      </c>
    </row>
    <row r="12" spans="1:11" x14ac:dyDescent="0.25">
      <c r="A12" t="s">
        <v>43</v>
      </c>
      <c r="B12">
        <v>1</v>
      </c>
      <c r="C12" t="s">
        <v>44</v>
      </c>
      <c r="E12" t="s">
        <v>45</v>
      </c>
      <c r="F12" t="s">
        <v>46</v>
      </c>
      <c r="G12" t="s">
        <v>117</v>
      </c>
      <c r="H12" t="s">
        <v>133</v>
      </c>
      <c r="I12" t="s">
        <v>134</v>
      </c>
      <c r="J12">
        <v>1.34E-2</v>
      </c>
      <c r="K12">
        <f t="shared" si="0"/>
        <v>1.34E-2</v>
      </c>
    </row>
    <row r="13" spans="1:11" x14ac:dyDescent="0.25">
      <c r="A13" t="s">
        <v>47</v>
      </c>
      <c r="B13">
        <v>1</v>
      </c>
      <c r="C13" t="s">
        <v>48</v>
      </c>
      <c r="E13" t="s">
        <v>45</v>
      </c>
      <c r="F13" t="s">
        <v>46</v>
      </c>
      <c r="G13" t="s">
        <v>117</v>
      </c>
      <c r="H13" t="s">
        <v>135</v>
      </c>
      <c r="I13" t="s">
        <v>136</v>
      </c>
      <c r="J13">
        <v>1.1299999999999999E-2</v>
      </c>
      <c r="K13">
        <f t="shared" si="0"/>
        <v>1.1299999999999999E-2</v>
      </c>
    </row>
    <row r="14" spans="1:11" x14ac:dyDescent="0.25">
      <c r="A14" t="s">
        <v>49</v>
      </c>
      <c r="B14">
        <v>8</v>
      </c>
      <c r="C14" t="s">
        <v>50</v>
      </c>
      <c r="E14" t="s">
        <v>51</v>
      </c>
      <c r="F14" t="s">
        <v>52</v>
      </c>
      <c r="G14" t="s">
        <v>117</v>
      </c>
      <c r="H14" t="s">
        <v>53</v>
      </c>
      <c r="I14" t="s">
        <v>50</v>
      </c>
      <c r="J14">
        <v>4.1799999999999997E-2</v>
      </c>
      <c r="K14">
        <f t="shared" si="0"/>
        <v>0.33439999999999998</v>
      </c>
    </row>
    <row r="15" spans="1:11" x14ac:dyDescent="0.25">
      <c r="A15" t="s">
        <v>54</v>
      </c>
      <c r="B15">
        <v>1</v>
      </c>
      <c r="C15" t="s">
        <v>55</v>
      </c>
      <c r="E15" t="s">
        <v>56</v>
      </c>
      <c r="F15" t="s">
        <v>57</v>
      </c>
      <c r="G15" t="s">
        <v>117</v>
      </c>
      <c r="H15" t="s">
        <v>58</v>
      </c>
      <c r="I15" t="s">
        <v>137</v>
      </c>
      <c r="J15">
        <v>4.8099999999999997E-2</v>
      </c>
      <c r="K15">
        <f t="shared" si="0"/>
        <v>4.8099999999999997E-2</v>
      </c>
    </row>
    <row r="16" spans="1:11" x14ac:dyDescent="0.25">
      <c r="A16" t="s">
        <v>62</v>
      </c>
      <c r="B16">
        <v>1</v>
      </c>
      <c r="C16" t="s">
        <v>63</v>
      </c>
      <c r="E16" t="s">
        <v>64</v>
      </c>
      <c r="F16" t="s">
        <v>65</v>
      </c>
      <c r="G16" t="s">
        <v>117</v>
      </c>
      <c r="H16" t="s">
        <v>66</v>
      </c>
      <c r="I16" t="s">
        <v>138</v>
      </c>
      <c r="J16">
        <v>0.1777</v>
      </c>
      <c r="K16">
        <f t="shared" si="0"/>
        <v>0.1777</v>
      </c>
    </row>
    <row r="17" spans="1:12" x14ac:dyDescent="0.25">
      <c r="A17" s="3" t="s">
        <v>67</v>
      </c>
      <c r="B17" s="3">
        <v>1</v>
      </c>
      <c r="C17" s="3" t="s">
        <v>68</v>
      </c>
      <c r="D17" s="3"/>
      <c r="E17" s="3" t="s">
        <v>69</v>
      </c>
      <c r="F17" s="3" t="s">
        <v>70</v>
      </c>
      <c r="G17" s="3" t="s">
        <v>118</v>
      </c>
      <c r="H17" s="3"/>
      <c r="I17" s="3"/>
      <c r="J17" s="3">
        <v>0</v>
      </c>
      <c r="K17" s="3">
        <f t="shared" si="0"/>
        <v>0</v>
      </c>
    </row>
    <row r="18" spans="1:12" x14ac:dyDescent="0.25">
      <c r="A18" t="s">
        <v>73</v>
      </c>
      <c r="B18">
        <v>1</v>
      </c>
      <c r="C18" t="s">
        <v>74</v>
      </c>
      <c r="E18" t="s">
        <v>75</v>
      </c>
      <c r="F18" t="s">
        <v>76</v>
      </c>
      <c r="G18" t="s">
        <v>117</v>
      </c>
      <c r="H18" t="s">
        <v>77</v>
      </c>
      <c r="I18" t="s">
        <v>74</v>
      </c>
      <c r="J18">
        <v>1.38E-2</v>
      </c>
      <c r="K18">
        <f t="shared" si="0"/>
        <v>1.38E-2</v>
      </c>
    </row>
    <row r="19" spans="1:12" x14ac:dyDescent="0.25">
      <c r="A19" t="s">
        <v>78</v>
      </c>
      <c r="B19">
        <v>3</v>
      </c>
      <c r="C19" t="s">
        <v>79</v>
      </c>
      <c r="E19" t="s">
        <v>80</v>
      </c>
      <c r="F19" t="s">
        <v>81</v>
      </c>
      <c r="G19" t="s">
        <v>117</v>
      </c>
      <c r="I19" t="s">
        <v>139</v>
      </c>
      <c r="J19">
        <v>6.9999999999999999E-4</v>
      </c>
      <c r="K19">
        <f t="shared" si="0"/>
        <v>2.0999999999999999E-3</v>
      </c>
    </row>
    <row r="20" spans="1:12" x14ac:dyDescent="0.25">
      <c r="A20" t="s">
        <v>82</v>
      </c>
      <c r="B20">
        <v>1</v>
      </c>
      <c r="C20" t="s">
        <v>83</v>
      </c>
      <c r="E20" t="s">
        <v>9</v>
      </c>
      <c r="F20" t="s">
        <v>81</v>
      </c>
      <c r="G20" t="s">
        <v>117</v>
      </c>
      <c r="I20" t="s">
        <v>139</v>
      </c>
      <c r="J20">
        <v>2.0999999999999999E-3</v>
      </c>
      <c r="K20">
        <f t="shared" si="0"/>
        <v>2.0999999999999999E-3</v>
      </c>
    </row>
    <row r="21" spans="1:12" x14ac:dyDescent="0.25">
      <c r="A21" t="s">
        <v>84</v>
      </c>
      <c r="B21">
        <v>2</v>
      </c>
      <c r="C21" t="s">
        <v>85</v>
      </c>
      <c r="E21" t="s">
        <v>80</v>
      </c>
      <c r="F21" t="s">
        <v>81</v>
      </c>
      <c r="G21" t="s">
        <v>117</v>
      </c>
      <c r="I21" t="s">
        <v>139</v>
      </c>
      <c r="J21">
        <v>6.9999999999999999E-4</v>
      </c>
      <c r="K21">
        <f t="shared" si="0"/>
        <v>1.4E-3</v>
      </c>
    </row>
    <row r="22" spans="1:12" x14ac:dyDescent="0.25">
      <c r="A22" t="s">
        <v>86</v>
      </c>
      <c r="B22">
        <v>2</v>
      </c>
      <c r="C22" t="s">
        <v>87</v>
      </c>
      <c r="E22" t="s">
        <v>80</v>
      </c>
      <c r="F22" t="s">
        <v>81</v>
      </c>
      <c r="G22" t="s">
        <v>117</v>
      </c>
      <c r="I22" t="s">
        <v>139</v>
      </c>
      <c r="J22">
        <v>6.9999999999999999E-4</v>
      </c>
      <c r="K22">
        <f t="shared" si="0"/>
        <v>1.4E-3</v>
      </c>
    </row>
    <row r="23" spans="1:12" x14ac:dyDescent="0.25">
      <c r="A23" t="s">
        <v>88</v>
      </c>
      <c r="B23">
        <v>2</v>
      </c>
      <c r="C23" t="s">
        <v>89</v>
      </c>
      <c r="E23" t="s">
        <v>80</v>
      </c>
      <c r="F23" t="s">
        <v>81</v>
      </c>
      <c r="G23" t="s">
        <v>117</v>
      </c>
      <c r="I23" t="s">
        <v>139</v>
      </c>
      <c r="J23">
        <v>6.9999999999999999E-4</v>
      </c>
      <c r="K23">
        <f t="shared" si="0"/>
        <v>1.4E-3</v>
      </c>
    </row>
    <row r="24" spans="1:12" x14ac:dyDescent="0.25">
      <c r="A24" t="s">
        <v>90</v>
      </c>
      <c r="B24">
        <v>4</v>
      </c>
      <c r="C24" t="s">
        <v>91</v>
      </c>
      <c r="E24" t="s">
        <v>92</v>
      </c>
      <c r="F24" t="s">
        <v>81</v>
      </c>
      <c r="G24" t="s">
        <v>117</v>
      </c>
      <c r="I24" t="s">
        <v>139</v>
      </c>
      <c r="J24">
        <v>6.4000000000000003E-3</v>
      </c>
      <c r="K24">
        <f t="shared" si="0"/>
        <v>2.5600000000000001E-2</v>
      </c>
    </row>
    <row r="25" spans="1:12" x14ac:dyDescent="0.25">
      <c r="A25" t="s">
        <v>93</v>
      </c>
      <c r="B25">
        <v>1</v>
      </c>
      <c r="C25" t="s">
        <v>94</v>
      </c>
      <c r="E25" t="s">
        <v>95</v>
      </c>
      <c r="F25" t="s">
        <v>96</v>
      </c>
      <c r="G25" t="s">
        <v>117</v>
      </c>
      <c r="H25" t="s">
        <v>97</v>
      </c>
      <c r="I25" s="2" t="s">
        <v>146</v>
      </c>
      <c r="J25">
        <v>1.0699999999999999E-2</v>
      </c>
      <c r="K25">
        <f t="shared" si="0"/>
        <v>1.0699999999999999E-2</v>
      </c>
    </row>
    <row r="26" spans="1:12" x14ac:dyDescent="0.25">
      <c r="A26" t="s">
        <v>98</v>
      </c>
      <c r="B26">
        <v>1</v>
      </c>
      <c r="C26" t="s">
        <v>99</v>
      </c>
      <c r="E26" t="s">
        <v>100</v>
      </c>
      <c r="G26" t="s">
        <v>117</v>
      </c>
      <c r="H26" t="s">
        <v>101</v>
      </c>
      <c r="I26" t="s">
        <v>99</v>
      </c>
      <c r="J26">
        <v>3.29</v>
      </c>
      <c r="K26">
        <f t="shared" si="0"/>
        <v>3.29</v>
      </c>
      <c r="L26" s="5" t="s">
        <v>140</v>
      </c>
    </row>
    <row r="27" spans="1:12" x14ac:dyDescent="0.25">
      <c r="A27" t="s">
        <v>102</v>
      </c>
      <c r="B27">
        <v>1</v>
      </c>
      <c r="C27" t="s">
        <v>103</v>
      </c>
      <c r="E27" t="s">
        <v>104</v>
      </c>
      <c r="F27" t="s">
        <v>105</v>
      </c>
      <c r="G27" t="s">
        <v>117</v>
      </c>
      <c r="H27" t="s">
        <v>106</v>
      </c>
      <c r="I27" t="s">
        <v>141</v>
      </c>
      <c r="J27">
        <v>0.1318</v>
      </c>
      <c r="K27">
        <f t="shared" si="0"/>
        <v>0.1318</v>
      </c>
    </row>
    <row r="28" spans="1:12" x14ac:dyDescent="0.25">
      <c r="A28" t="s">
        <v>107</v>
      </c>
      <c r="B28">
        <v>1</v>
      </c>
      <c r="C28" t="s">
        <v>108</v>
      </c>
      <c r="E28" t="s">
        <v>109</v>
      </c>
      <c r="F28" t="s">
        <v>110</v>
      </c>
      <c r="G28" t="s">
        <v>117</v>
      </c>
      <c r="H28" t="s">
        <v>111</v>
      </c>
      <c r="I28" t="s">
        <v>108</v>
      </c>
      <c r="J28">
        <v>0.17860000000000001</v>
      </c>
      <c r="K28">
        <f t="shared" si="0"/>
        <v>0.17860000000000001</v>
      </c>
      <c r="L28" s="5" t="s">
        <v>145</v>
      </c>
    </row>
    <row r="29" spans="1:12" x14ac:dyDescent="0.25">
      <c r="A29" t="s">
        <v>112</v>
      </c>
      <c r="B29">
        <v>1</v>
      </c>
      <c r="C29" t="s">
        <v>113</v>
      </c>
      <c r="E29" t="s">
        <v>114</v>
      </c>
      <c r="F29" t="s">
        <v>110</v>
      </c>
      <c r="G29" t="s">
        <v>118</v>
      </c>
      <c r="H29" t="s">
        <v>115</v>
      </c>
      <c r="I29" t="s">
        <v>113</v>
      </c>
      <c r="J29">
        <v>0</v>
      </c>
      <c r="K29">
        <f t="shared" si="0"/>
        <v>0</v>
      </c>
    </row>
    <row r="30" spans="1:12" x14ac:dyDescent="0.25">
      <c r="A30" t="s">
        <v>71</v>
      </c>
      <c r="B30">
        <v>1</v>
      </c>
      <c r="C30" t="s">
        <v>72</v>
      </c>
      <c r="F30" t="s">
        <v>72</v>
      </c>
      <c r="G30" t="s">
        <v>117</v>
      </c>
      <c r="I30" t="s">
        <v>142</v>
      </c>
      <c r="J30">
        <v>0</v>
      </c>
      <c r="K30">
        <f t="shared" si="0"/>
        <v>0</v>
      </c>
    </row>
    <row r="31" spans="1:12" x14ac:dyDescent="0.25">
      <c r="A31" t="s">
        <v>59</v>
      </c>
      <c r="B31">
        <v>2</v>
      </c>
      <c r="C31" t="s">
        <v>60</v>
      </c>
      <c r="E31" t="s">
        <v>61</v>
      </c>
      <c r="F31" t="s">
        <v>147</v>
      </c>
      <c r="G31" t="s">
        <v>117</v>
      </c>
      <c r="J31">
        <v>0.01</v>
      </c>
      <c r="K31">
        <f t="shared" si="0"/>
        <v>0.02</v>
      </c>
    </row>
    <row r="32" spans="1:12" x14ac:dyDescent="0.25">
      <c r="A32" t="s">
        <v>119</v>
      </c>
      <c r="B32">
        <v>1</v>
      </c>
      <c r="E32" t="s">
        <v>143</v>
      </c>
      <c r="I32" t="s">
        <v>142</v>
      </c>
      <c r="J32">
        <v>0</v>
      </c>
      <c r="K32">
        <f t="shared" si="0"/>
        <v>0</v>
      </c>
    </row>
    <row r="35" spans="10:11" x14ac:dyDescent="0.25">
      <c r="J35" s="1" t="s">
        <v>144</v>
      </c>
      <c r="K35" s="6">
        <f>SUM(K3:K32)</f>
        <v>4.7136000000000005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irblaster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Florin Cocos</dc:creator>
  <cp:lastModifiedBy>Florin Cocos</cp:lastModifiedBy>
  <dcterms:created xsi:type="dcterms:W3CDTF">2022-10-03T05:28:35Z</dcterms:created>
  <dcterms:modified xsi:type="dcterms:W3CDTF">2022-10-03T06:10:36Z</dcterms:modified>
</cp:coreProperties>
</file>