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ezlo-irblaster\Deliverables\BOM\"/>
    </mc:Choice>
  </mc:AlternateContent>
  <xr:revisionPtr revIDLastSave="0" documentId="13_ncr:1_{F211018B-AAB7-401B-B048-0EA0B5E55D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 Boards" sheetId="1" r:id="rId1"/>
    <sheet name="1000 Boards" sheetId="2" r:id="rId2"/>
    <sheet name="5000 Boards" sheetId="3" r:id="rId3"/>
  </sheets>
  <calcPr calcId="191029"/>
</workbook>
</file>

<file path=xl/calcChain.xml><?xml version="1.0" encoding="utf-8"?>
<calcChain xmlns="http://schemas.openxmlformats.org/spreadsheetml/2006/main">
  <c r="Q38" i="2" l="1"/>
  <c r="Q39" i="2" s="1"/>
  <c r="Q38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10" i="3"/>
  <c r="Q37" i="3"/>
  <c r="B37" i="3"/>
  <c r="Q36" i="3"/>
  <c r="B36" i="3"/>
  <c r="Q35" i="3"/>
  <c r="B35" i="3"/>
  <c r="Q34" i="3"/>
  <c r="B34" i="3"/>
  <c r="Q33" i="3"/>
  <c r="B33" i="3"/>
  <c r="Q32" i="3"/>
  <c r="B32" i="3"/>
  <c r="Q31" i="3"/>
  <c r="B31" i="3"/>
  <c r="Q30" i="3"/>
  <c r="B30" i="3"/>
  <c r="Q29" i="3"/>
  <c r="B29" i="3"/>
  <c r="Q28" i="3"/>
  <c r="B28" i="3"/>
  <c r="Q27" i="3"/>
  <c r="B27" i="3"/>
  <c r="Q26" i="3"/>
  <c r="B26" i="3"/>
  <c r="B25" i="3"/>
  <c r="Q24" i="3"/>
  <c r="B24" i="3"/>
  <c r="Q23" i="3"/>
  <c r="B23" i="3"/>
  <c r="Q22" i="3"/>
  <c r="B22" i="3"/>
  <c r="B21" i="3"/>
  <c r="Q20" i="3"/>
  <c r="B20" i="3"/>
  <c r="Q19" i="3"/>
  <c r="B19" i="3"/>
  <c r="Q18" i="3"/>
  <c r="B18" i="3"/>
  <c r="B17" i="3"/>
  <c r="Q16" i="3"/>
  <c r="B16" i="3"/>
  <c r="Q15" i="3"/>
  <c r="B15" i="3"/>
  <c r="Q14" i="3"/>
  <c r="B14" i="3"/>
  <c r="Q13" i="3"/>
  <c r="B13" i="3"/>
  <c r="Q12" i="3"/>
  <c r="B12" i="3"/>
  <c r="Q11" i="3"/>
  <c r="B11" i="3"/>
  <c r="Q10" i="3"/>
  <c r="B10" i="3"/>
  <c r="Q39" i="3" l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10" i="2"/>
  <c r="Q37" i="2"/>
  <c r="B37" i="2"/>
  <c r="Q36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Q28" i="2"/>
  <c r="B28" i="2"/>
  <c r="Q27" i="2"/>
  <c r="B27" i="2"/>
  <c r="Q26" i="2"/>
  <c r="B26" i="2"/>
  <c r="B25" i="2"/>
  <c r="Q24" i="2"/>
  <c r="B24" i="2"/>
  <c r="Q23" i="2"/>
  <c r="B23" i="2"/>
  <c r="Q22" i="2"/>
  <c r="B22" i="2"/>
  <c r="B21" i="2"/>
  <c r="Q20" i="2"/>
  <c r="B20" i="2"/>
  <c r="Q19" i="2"/>
  <c r="B19" i="2"/>
  <c r="Q18" i="2"/>
  <c r="B18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11" i="1"/>
  <c r="Q12" i="1"/>
  <c r="Q13" i="1"/>
  <c r="Q14" i="1"/>
  <c r="Q15" i="1"/>
  <c r="Q16" i="1"/>
  <c r="Q18" i="1"/>
  <c r="Q19" i="1"/>
  <c r="Q20" i="1"/>
  <c r="Q22" i="1"/>
  <c r="Q23" i="1"/>
  <c r="Q24" i="1"/>
  <c r="Q38" i="1" s="1"/>
  <c r="Q26" i="1"/>
  <c r="Q27" i="1"/>
  <c r="Q28" i="1"/>
  <c r="Q29" i="1"/>
  <c r="Q30" i="1"/>
  <c r="Q31" i="1"/>
  <c r="Q32" i="1"/>
  <c r="Q33" i="1"/>
  <c r="Q34" i="1"/>
  <c r="Q35" i="1"/>
  <c r="Q36" i="1"/>
  <c r="Q37" i="1"/>
  <c r="Q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10" i="1"/>
  <c r="Q39" i="1" l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<sst xmlns="http://schemas.openxmlformats.org/spreadsheetml/2006/main" count="955" uniqueCount="212">
  <si>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</si>
  <si>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</si>
  <si>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</si>
  <si>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</si>
  <si>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</si>
  <si>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</si>
  <si>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</si>
  <si>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</si>
  <si>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Fuse</t>
  </si>
  <si>
    <t>LED</t>
  </si>
  <si>
    <t>Infrared LED</t>
  </si>
  <si>
    <t>Mosfet</t>
  </si>
  <si>
    <t>Resistor</t>
  </si>
  <si>
    <t>Switch</t>
  </si>
  <si>
    <t>Module</t>
  </si>
  <si>
    <t>IC</t>
  </si>
  <si>
    <t>Designator</t>
  </si>
  <si>
    <t>C1, C9</t>
  </si>
  <si>
    <t>C2, C4</t>
  </si>
  <si>
    <t>C3</t>
  </si>
  <si>
    <t>C5, C6</t>
  </si>
  <si>
    <t>C7</t>
  </si>
  <si>
    <t>C8</t>
  </si>
  <si>
    <t>C10</t>
  </si>
  <si>
    <t>C11, C12</t>
  </si>
  <si>
    <t>D1</t>
  </si>
  <si>
    <t>F1</t>
  </si>
  <si>
    <t>J1</t>
  </si>
  <si>
    <t>J2</t>
  </si>
  <si>
    <t>LED1</t>
  </si>
  <si>
    <t>LED2</t>
  </si>
  <si>
    <t>LED3, LED4, LED5, LED6, LED7, LED8, LED9, LED10</t>
  </si>
  <si>
    <t>P2, P3, P4</t>
  </si>
  <si>
    <t>Q1</t>
  </si>
  <si>
    <t>R1, R2, R10</t>
  </si>
  <si>
    <t>R3, R4</t>
  </si>
  <si>
    <t>R5, R6, R7, R8</t>
  </si>
  <si>
    <t>R9, R11</t>
  </si>
  <si>
    <t>R12, R13</t>
  </si>
  <si>
    <t>R14</t>
  </si>
  <si>
    <t>SW1</t>
  </si>
  <si>
    <t>U1</t>
  </si>
  <si>
    <t>U2</t>
  </si>
  <si>
    <t>U3</t>
  </si>
  <si>
    <t>U4</t>
  </si>
  <si>
    <t>Description</t>
  </si>
  <si>
    <t>CAP CER 22UF 25V X5R 0805</t>
  </si>
  <si>
    <t>CAP CER 0.1UF 50V X5R 0402</t>
  </si>
  <si>
    <t>CAP CER 1UF 25V X5R 0603</t>
  </si>
  <si>
    <t>220uF 5.4mm 10V 6.3mm ±20% SMD,D6.3xL5.4mm Aluminum Electrolytic Capacitors - SMD ROHS</t>
  </si>
  <si>
    <t>CAP CER 4.7UF 25V X5R 0603</t>
  </si>
  <si>
    <t>CAP CER 10UF 25V X5R 0603</t>
  </si>
  <si>
    <t>CAP CER 4700PF 1KV X7R 1206</t>
  </si>
  <si>
    <t>DO Not Mount</t>
  </si>
  <si>
    <t>ESD Suppressor TVS 5.5V 4-Pin(3+Tab) SOT-143 T/R</t>
  </si>
  <si>
    <t>6V 1A 50A 1W -40℃~+85℃ 2A 9mΩ 0.5s 80mΩ 0603 Resettable Fuses ROHS</t>
  </si>
  <si>
    <t>250mA 1 16 Female Type-C SMD USB Connectors ROHS</t>
  </si>
  <si>
    <t>DNP</t>
  </si>
  <si>
    <t>Green 520~535nm 0402 Light Emitting Diodes (LED) RoHS</t>
  </si>
  <si>
    <t>LED RED CLEAR CHIP SMD</t>
  </si>
  <si>
    <t>EMITTER IR 940NM 100MA RADIAL</t>
  </si>
  <si>
    <t>Test Point ON</t>
  </si>
  <si>
    <t>20V 3A 40mΩ@4.5V,3A 700mW 780mV@250uA 29pF@10V N Channel 280pF@10V 2.9nC@4.5V -55℃~+150℃@(Tj) SOT-23-3L MOSFETs ROHS</t>
  </si>
  <si>
    <t>RES SMD 10K OHM 5% 1/5W 0603</t>
  </si>
  <si>
    <t>RES  SMD 330R 100 mW 0603</t>
  </si>
  <si>
    <t>500mW Thick Film Resistors 200V ±100ppm/℃ 27Ω 1210 Chip Resistor - SMD ROHS</t>
  </si>
  <si>
    <t>RES SMD 100 OHM 1% 1/10W 0603</t>
  </si>
  <si>
    <t>RES SMD 5.1 KOHM 1% 1/5W 0402</t>
  </si>
  <si>
    <t>RES SMD 1M OHM 1% 1/10W 0603</t>
  </si>
  <si>
    <t>3.5mm 3.5mm SMDSplicing Black Rectangle button 50mA Surface Mount 7mm SPST 100MΩ 20000 12V 250gf@±50gf SMD Tactile Switches ROHS</t>
  </si>
  <si>
    <t>SMD MODULE, ESP32-S3, 4 MB SPI F</t>
  </si>
  <si>
    <t>IRM-H6 Series External Dimensions 5 x 7 x 4 mm SMT Infrared Receiver</t>
  </si>
  <si>
    <t>SENSOR REMOTE REC 38.0KHZ 14M</t>
  </si>
  <si>
    <t>600mA 60dB 500mV@(600mA) Fixed 3.3V~3.3V Positive 1 7V SOT-89(SOT-89-3) Linear Voltage Regulators (LDO) ROHS</t>
  </si>
  <si>
    <t>Footprint</t>
  </si>
  <si>
    <t>Cap-0805</t>
  </si>
  <si>
    <t>Cap-0402</t>
  </si>
  <si>
    <t>Cap-0603</t>
  </si>
  <si>
    <t>RT1A221M0605</t>
  </si>
  <si>
    <t>Cap-1206</t>
  </si>
  <si>
    <t>SOT-143-4_</t>
  </si>
  <si>
    <t>fuse-0603</t>
  </si>
  <si>
    <t>Voltlink Target</t>
  </si>
  <si>
    <t>LED-0402</t>
  </si>
  <si>
    <t>IR333_A</t>
  </si>
  <si>
    <t>SOT-23-3L_</t>
  </si>
  <si>
    <t>RES-0603</t>
  </si>
  <si>
    <t>Res-0603</t>
  </si>
  <si>
    <t>Res_1210</t>
  </si>
  <si>
    <t>Res-0402</t>
  </si>
  <si>
    <t>YTS-B003-2A</t>
  </si>
  <si>
    <t>41-SMD Module</t>
  </si>
  <si>
    <t>SMD-4,4x5mm</t>
  </si>
  <si>
    <t>SIP-3P-2.54mm</t>
  </si>
  <si>
    <t>SOT-89-3</t>
  </si>
  <si>
    <t>Manufacturer Part Number</t>
  </si>
  <si>
    <t>CL21A226MAYNNNE</t>
  </si>
  <si>
    <t>C1005X5R1H104K050BB</t>
  </si>
  <si>
    <t>CC0603KRX5R8BB105</t>
  </si>
  <si>
    <t>CL10A475KA8NQNC</t>
  </si>
  <si>
    <t>C1608X5R1E106M080AC</t>
  </si>
  <si>
    <t>CC1206KKX7RCBB472</t>
  </si>
  <si>
    <t>SP0503BAHTG</t>
  </si>
  <si>
    <t>BSMD0603L-100</t>
  </si>
  <si>
    <t>TYPE-C-31-M-12</t>
  </si>
  <si>
    <t>16-213/GHC-YR1S1/3T</t>
  </si>
  <si>
    <t>XZMDK68W-2</t>
  </si>
  <si>
    <t>IR333-A</t>
  </si>
  <si>
    <t>YJL2302B</t>
  </si>
  <si>
    <t>CRGH0603J10K</t>
  </si>
  <si>
    <t>RC0603JR-07330RL</t>
  </si>
  <si>
    <t>FRC1210F27R0TS</t>
  </si>
  <si>
    <t>RC0603FR-07100RL</t>
  </si>
  <si>
    <t>ERJ-PA2F5101X</t>
  </si>
  <si>
    <t>RC0603FR-071ML</t>
  </si>
  <si>
    <t>ESP32-S3-WROOM-1-N4</t>
  </si>
  <si>
    <t>IRM-H638T/TR2</t>
  </si>
  <si>
    <t>IRM-3638T</t>
  </si>
  <si>
    <t>LR1107G-33-AB3-C-R</t>
  </si>
  <si>
    <t>Manufacturer</t>
  </si>
  <si>
    <t>Samsung</t>
  </si>
  <si>
    <t>TDK</t>
  </si>
  <si>
    <t>Yageo</t>
  </si>
  <si>
    <t>ROQANG</t>
  </si>
  <si>
    <t>Littelfuse</t>
  </si>
  <si>
    <t>BHFUSE</t>
  </si>
  <si>
    <t>Korean Hroparts Elec</t>
  </si>
  <si>
    <t>Everlight Elec</t>
  </si>
  <si>
    <t>SunLED</t>
  </si>
  <si>
    <t>Everlight</t>
  </si>
  <si>
    <t>Yangzhou Yangjie Elec Tech</t>
  </si>
  <si>
    <t>TE Connectivity Holsworthy</t>
  </si>
  <si>
    <t>FOJAN</t>
  </si>
  <si>
    <t>Panasonic</t>
  </si>
  <si>
    <t>YIYUAN</t>
  </si>
  <si>
    <t>Espressif Systems</t>
  </si>
  <si>
    <t>UTC(Unisonic Tech)</t>
  </si>
  <si>
    <t>LCSC Part Number</t>
  </si>
  <si>
    <t>C602037</t>
  </si>
  <si>
    <t>C14664</t>
  </si>
  <si>
    <t>C267466</t>
  </si>
  <si>
    <t>C69335</t>
  </si>
  <si>
    <t>C107198</t>
  </si>
  <si>
    <t>C2757929</t>
  </si>
  <si>
    <t>C165948</t>
  </si>
  <si>
    <t>C74338</t>
  </si>
  <si>
    <t>C95407</t>
  </si>
  <si>
    <t>C699316</t>
  </si>
  <si>
    <t>C105879</t>
  </si>
  <si>
    <t>C2960734</t>
  </si>
  <si>
    <t>C105588</t>
  </si>
  <si>
    <t>C105578</t>
  </si>
  <si>
    <t>C2910695</t>
  </si>
  <si>
    <t>C2913197</t>
  </si>
  <si>
    <t>C91447</t>
  </si>
  <si>
    <t>C16216</t>
  </si>
  <si>
    <t>C171498</t>
  </si>
  <si>
    <t>22uF</t>
  </si>
  <si>
    <t>0.1uF</t>
  </si>
  <si>
    <t>1uF</t>
  </si>
  <si>
    <t>220uF</t>
  </si>
  <si>
    <t>4.7UF</t>
  </si>
  <si>
    <t>10uF</t>
  </si>
  <si>
    <t>4.7nF</t>
  </si>
  <si>
    <t>10K</t>
  </si>
  <si>
    <t>330R</t>
  </si>
  <si>
    <t>27R</t>
  </si>
  <si>
    <t>100R</t>
  </si>
  <si>
    <t>5.1K</t>
  </si>
  <si>
    <t>1M</t>
  </si>
  <si>
    <t>Quantity</t>
  </si>
  <si>
    <t>Diode</t>
  </si>
  <si>
    <t>Connector</t>
  </si>
  <si>
    <t xml:space="preserve">JST Connector </t>
  </si>
  <si>
    <t xml:space="preserve">Test Point </t>
  </si>
  <si>
    <t>-</t>
  </si>
  <si>
    <t>Alternate Part Number</t>
  </si>
  <si>
    <t>Value</t>
  </si>
  <si>
    <t>Quantity (20 Boards)</t>
  </si>
  <si>
    <t>MOQ (20 Boards)</t>
  </si>
  <si>
    <t>Links</t>
  </si>
  <si>
    <t>Unit Cost (20 Boards)</t>
  </si>
  <si>
    <t>Total Cost (20 Boards)</t>
  </si>
  <si>
    <t>Remarks</t>
  </si>
  <si>
    <t>Reviewer Remarks</t>
  </si>
  <si>
    <t xml:space="preserve">Total Component Cost </t>
  </si>
  <si>
    <t>Single Board Cost</t>
  </si>
  <si>
    <t>Bill of Materials for Project [IR_blaster]</t>
  </si>
  <si>
    <t>IR_blaster</t>
  </si>
  <si>
    <t>Custom</t>
  </si>
  <si>
    <t>LCSC</t>
  </si>
  <si>
    <t>0402B104K500CT</t>
  </si>
  <si>
    <t>C152814</t>
  </si>
  <si>
    <t>CL10A106MA8NRNC</t>
  </si>
  <si>
    <t>C96446</t>
  </si>
  <si>
    <t>C7074</t>
  </si>
  <si>
    <t>CR0603JA0103G</t>
  </si>
  <si>
    <t>C101254</t>
  </si>
  <si>
    <t>DO NOT MOUNT</t>
  </si>
  <si>
    <t>XL-1005SURC</t>
  </si>
  <si>
    <t>C965790</t>
  </si>
  <si>
    <t>Quantity (1000 Boards)</t>
  </si>
  <si>
    <t>MOQ (1000 Boards)</t>
  </si>
  <si>
    <t>Unit Cost (1000 Boards)</t>
  </si>
  <si>
    <t>Total Cost (1000 Boards)</t>
  </si>
  <si>
    <t>RC-02W5101FT</t>
  </si>
  <si>
    <t>C294638</t>
  </si>
  <si>
    <t>Less Stock On LCSC ETA request sended</t>
  </si>
  <si>
    <t>Quantity (5000 Boards)</t>
  </si>
  <si>
    <t>MOQ (5000 Boards)</t>
  </si>
  <si>
    <t>Unit Cost (5000 Boards)</t>
  </si>
  <si>
    <t>Total Cost (5000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</si>
</sst>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0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9" fillId="0" borderId="16" xfId="0" applyFont="1" applyBorder="1" applyAlignment="1">
      <alignment horizontal="center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2" xfId="0" applyNumberFormat="1" applyFont="1" applyFill="1" applyBorder="1" applyAlignment="1">
      <alignment horizontal="center" vertical="center"/>
    </xf>
    <xf numFmtId="0" fontId="17" fillId="5" borderId="21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7" fillId="5" borderId="13" xfId="0" applyFont="1" applyFill="1" applyBorder="1" applyAlignment="1">
      <alignment horizontal="center" vertical="center"/>
    </xf>
    <xf numFmtId="0" fontId="0" fillId="3" borderId="0" xfId="0" applyFill="1"/>
    <xf numFmtId="0" fontId="18" fillId="2" borderId="17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4" borderId="17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22" fillId="4" borderId="17" xfId="1" applyFill="1" applyBorder="1" applyAlignment="1">
      <alignment horizontal="center" vertical="center" wrapText="1"/>
    </xf>
    <xf numFmtId="0" fontId="23" fillId="4" borderId="6" xfId="0" applyFont="1" applyFill="1" applyBorder="1" applyAlignment="1">
      <alignment horizontal="center" vertical="center" wrapText="1"/>
    </xf>
    <xf numFmtId="0" fontId="24" fillId="4" borderId="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9" fillId="0" borderId="16" xfId="0" applyFont="1" applyBorder="1" applyAlignment="1">
      <alignment horizontal="center" wrapText="1"/>
    </xf>
    <xf numFmtId="0" fontId="0" fillId="0" borderId="0" xfId="0" applyAlignment="1">
      <alignment wrapText="1"/>
    </xf>
    <xf numFmtId="0" fontId="25" fillId="2" borderId="5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22" fillId="2" borderId="16" xfId="1" applyFill="1" applyBorder="1" applyAlignment="1">
      <alignment horizontal="center" vertical="center"/>
    </xf>
    <xf numFmtId="165" fontId="18" fillId="2" borderId="16" xfId="0" applyNumberFormat="1" applyFont="1" applyFill="1" applyBorder="1" applyAlignment="1">
      <alignment horizontal="center" vertical="center"/>
    </xf>
    <xf numFmtId="0" fontId="21" fillId="4" borderId="17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horizontal="center" vertical="center"/>
    </xf>
    <xf numFmtId="165" fontId="18" fillId="4" borderId="17" xfId="0" applyNumberFormat="1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19</xdr:col>
      <xdr:colOff>0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53EC1-7998-45F6-A7F1-03ADEDE06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1155025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19</xdr:col>
      <xdr:colOff>0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85C001-DCC5-4821-B60B-3D6B6A3B6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93570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Light-Emitting-Diodes-LED_Everlight-Elec-16-213-GHC-YR1S1-3T_C74338.html" TargetMode="External"/><Relationship Id="rId13" Type="http://schemas.openxmlformats.org/officeDocument/2006/relationships/hyperlink" Target="https://www.lcsc.com/product-detail/Chip-Resistor-Surface-Mount_YAGEO-RC0603FR-071ML_C105578.html" TargetMode="External"/><Relationship Id="rId18" Type="http://schemas.openxmlformats.org/officeDocument/2006/relationships/hyperlink" Target="https://www.lcsc.com/product-detail/Linear-Voltage-Regulators-LDO_UTC-Unisonic-Tech-LR1107G-33-AB3-C-R_C171498.html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lcsc.com/product-detail/Aluminum-Electrolytic-Capacitors-SMD_ROQANG-RT1A221M0605_C267466.html" TargetMode="External"/><Relationship Id="rId21" Type="http://schemas.openxmlformats.org/officeDocument/2006/relationships/hyperlink" Target="https://www.lcsc.com/product-detail/TVS_Littelfuse-SP0503BAHTG_C7074.html" TargetMode="External"/><Relationship Id="rId7" Type="http://schemas.openxmlformats.org/officeDocument/2006/relationships/hyperlink" Target="https://www.lcsc.com/product-detail/USB-Connectors_Korean-Hroparts-Elec-TYPE-C-31-M-12_C165948.html" TargetMode="External"/><Relationship Id="rId12" Type="http://schemas.openxmlformats.org/officeDocument/2006/relationships/hyperlink" Target="https://www.lcsc.com/product-detail/Chip-Resistor-Surface-Mount_YAGEO-RC0603FR-07100RL_C105588.html" TargetMode="External"/><Relationship Id="rId17" Type="http://schemas.openxmlformats.org/officeDocument/2006/relationships/hyperlink" Target="https://www.lcsc.com/product-detail/Infrared-remote-receiver_Everlight-Elec-IRM-3638T_C16216.html" TargetMode="External"/><Relationship Id="rId25" Type="http://schemas.openxmlformats.org/officeDocument/2006/relationships/hyperlink" Target="https://www.lcsc.com/product-detail/Infrared-IR-LEDs_Everlight-Elec-IR333-A_C95407.html" TargetMode="External"/><Relationship Id="rId2" Type="http://schemas.openxmlformats.org/officeDocument/2006/relationships/hyperlink" Target="https://www.lcsc.com/product-detail/Multilayer-Ceramic-Capacitors-MLCC-SMD-SMT_YAGEO-CC0603KRX5R8BB105_C14664.html" TargetMode="External"/><Relationship Id="rId16" Type="http://schemas.openxmlformats.org/officeDocument/2006/relationships/hyperlink" Target="https://www.lcsc.com/product-detail/Infrared-remote-receiver_Everlight-Elec-IRM-H638T-TR2_C91447.html" TargetMode="External"/><Relationship Id="rId20" Type="http://schemas.openxmlformats.org/officeDocument/2006/relationships/hyperlink" Target="https://www.lcsc.com/product-detail/Multilayer-Ceramic-Capacitors-MLCC-SMD-SMT_Samsung-Electro-Mechanics-CL10A106MA8NRNC_C96446.html" TargetMode="External"/><Relationship Id="rId1" Type="http://schemas.openxmlformats.org/officeDocument/2006/relationships/hyperlink" Target="https://www.lcsc.com/product-detail/Multilayer-Ceramic-Capacitors-MLCC-SMD-SMT_Samsung-Electro-Mechanics-CL21A226MAYNNNE_C602037.html" TargetMode="External"/><Relationship Id="rId6" Type="http://schemas.openxmlformats.org/officeDocument/2006/relationships/hyperlink" Target="https://www.lcsc.com/product-detail/Resettable-Fuses_BHFUSE-BSMD0603L-100_C2757929.html" TargetMode="External"/><Relationship Id="rId11" Type="http://schemas.openxmlformats.org/officeDocument/2006/relationships/hyperlink" Target="https://www.lcsc.com/product-detail/Chip-Resistor-Surface-Mount_FOJAN-FRC1210F27R0TS_C2960734.html" TargetMode="External"/><Relationship Id="rId24" Type="http://schemas.openxmlformats.org/officeDocument/2006/relationships/hyperlink" Target="https://www.lcsc.com/product-detail/Chip-Resistor-Surface-Mount_FH-Guangdong-Fenghua-Advanced-Tech-RC-02W5101FT_C294638.html" TargetMode="External"/><Relationship Id="rId5" Type="http://schemas.openxmlformats.org/officeDocument/2006/relationships/hyperlink" Target="https://www.lcsc.com/product-detail/Multilayer-Ceramic-Capacitors-MLCC-SMD-SMT_YAGEO-CC1206KKX7RCBB472_C107198.html" TargetMode="External"/><Relationship Id="rId15" Type="http://schemas.openxmlformats.org/officeDocument/2006/relationships/hyperlink" Target="https://www.lcsc.com/product-detail/WiFi-Modules_Espressif-Systems-ESP32-S3-WROOM-1-N4_C2913197.html" TargetMode="External"/><Relationship Id="rId23" Type="http://schemas.openxmlformats.org/officeDocument/2006/relationships/hyperlink" Target="https://www.lcsc.com/product-detail/Light-Emitting-Diodes-span-style-background-color-ff0-LED-span_XINGLIGHT-XL-1005SURC_C965790.html" TargetMode="External"/><Relationship Id="rId10" Type="http://schemas.openxmlformats.org/officeDocument/2006/relationships/hyperlink" Target="https://www.lcsc.com/product-detail/Chip-Resistor-Surface-Mount_YAGEO-RC0603JR-07330RL_C105879.html" TargetMode="External"/><Relationship Id="rId19" Type="http://schemas.openxmlformats.org/officeDocument/2006/relationships/hyperlink" Target="https://www.lcsc.com/product-detail/Multilayer-Ceramic-Capacitors-MLCC-SMD-SMT_Walsin-Tech-Corp-0402B104K500CT_C152814.html" TargetMode="External"/><Relationship Id="rId4" Type="http://schemas.openxmlformats.org/officeDocument/2006/relationships/hyperlink" Target="https://www.lcsc.com/product-detail/Multilayer-Ceramic-Capacitors-MLCC-SMD-SMT_Samsung-Electro-Mechanics-CL10A475KA8NQNC_C69335.html" TargetMode="External"/><Relationship Id="rId9" Type="http://schemas.openxmlformats.org/officeDocument/2006/relationships/hyperlink" Target="https://www.lcsc.com/product-detail/MOSFETs_Yangzhou-Yangjie-Elec-Tech-YJL2302B_C699316.html" TargetMode="External"/><Relationship Id="rId14" Type="http://schemas.openxmlformats.org/officeDocument/2006/relationships/hyperlink" Target="https://www.lcsc.com/product-detail/Tactile-Switches_YIYUAN-YTS-B003-2A_C2910695.html" TargetMode="External"/><Relationship Id="rId22" Type="http://schemas.openxmlformats.org/officeDocument/2006/relationships/hyperlink" Target="https://www.lcsc.com/product-detail/Chip-Resistor-Surface-Mount_LIZ-Elec-CR0603JA0103G_C101254.html" TargetMode="External"/><Relationship Id="rId27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Light-Emitting-Diodes-LED_Everlight-Elec-16-213-GHC-YR1S1-3T_C74338.html" TargetMode="External"/><Relationship Id="rId13" Type="http://schemas.openxmlformats.org/officeDocument/2006/relationships/hyperlink" Target="https://www.lcsc.com/product-detail/Chip-Resistor-Surface-Mount_YAGEO-RC0603FR-071ML_C105578.html" TargetMode="External"/><Relationship Id="rId18" Type="http://schemas.openxmlformats.org/officeDocument/2006/relationships/hyperlink" Target="https://www.lcsc.com/product-detail/Linear-Voltage-Regulators-LDO_UTC-Unisonic-Tech-LR1107G-33-AB3-C-R_C171498.html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https://www.lcsc.com/product-detail/Aluminum-Electrolytic-Capacitors-SMD_ROQANG-RT1A221M0605_C267466.html" TargetMode="External"/><Relationship Id="rId21" Type="http://schemas.openxmlformats.org/officeDocument/2006/relationships/hyperlink" Target="https://www.lcsc.com/product-detail/TVS_Littelfuse-SP0503BAHTG_C7074.html" TargetMode="External"/><Relationship Id="rId7" Type="http://schemas.openxmlformats.org/officeDocument/2006/relationships/hyperlink" Target="https://www.lcsc.com/product-detail/USB-Connectors_Korean-Hroparts-Elec-TYPE-C-31-M-12_C165948.html" TargetMode="External"/><Relationship Id="rId12" Type="http://schemas.openxmlformats.org/officeDocument/2006/relationships/hyperlink" Target="https://www.lcsc.com/product-detail/Chip-Resistor-Surface-Mount_YAGEO-RC0603FR-07100RL_C105588.html" TargetMode="External"/><Relationship Id="rId17" Type="http://schemas.openxmlformats.org/officeDocument/2006/relationships/hyperlink" Target="https://www.lcsc.com/product-detail/Infrared-remote-receiver_Everlight-Elec-IRM-3638T_C16216.html" TargetMode="External"/><Relationship Id="rId25" Type="http://schemas.openxmlformats.org/officeDocument/2006/relationships/hyperlink" Target="https://www.lcsc.com/product-detail/Infrared-IR-LEDs_Everlight-Elec-IR333-A_C95407.html" TargetMode="External"/><Relationship Id="rId2" Type="http://schemas.openxmlformats.org/officeDocument/2006/relationships/hyperlink" Target="https://www.lcsc.com/product-detail/Multilayer-Ceramic-Capacitors-MLCC-SMD-SMT_YAGEO-CC0603KRX5R8BB105_C14664.html" TargetMode="External"/><Relationship Id="rId16" Type="http://schemas.openxmlformats.org/officeDocument/2006/relationships/hyperlink" Target="https://www.lcsc.com/product-detail/Infrared-remote-receiver_Everlight-Elec-IRM-H638T-TR2_C91447.html" TargetMode="External"/><Relationship Id="rId20" Type="http://schemas.openxmlformats.org/officeDocument/2006/relationships/hyperlink" Target="https://www.lcsc.com/product-detail/Multilayer-Ceramic-Capacitors-MLCC-SMD-SMT_Samsung-Electro-Mechanics-CL10A106MA8NRNC_C96446.html" TargetMode="External"/><Relationship Id="rId1" Type="http://schemas.openxmlformats.org/officeDocument/2006/relationships/hyperlink" Target="https://www.lcsc.com/product-detail/Multilayer-Ceramic-Capacitors-MLCC-SMD-SMT_Samsung-Electro-Mechanics-CL21A226MAYNNNE_C602037.html" TargetMode="External"/><Relationship Id="rId6" Type="http://schemas.openxmlformats.org/officeDocument/2006/relationships/hyperlink" Target="https://www.lcsc.com/product-detail/Resettable-Fuses_BHFUSE-BSMD0603L-100_C2757929.html" TargetMode="External"/><Relationship Id="rId11" Type="http://schemas.openxmlformats.org/officeDocument/2006/relationships/hyperlink" Target="https://www.lcsc.com/product-detail/Chip-Resistor-Surface-Mount_FOJAN-FRC1210F27R0TS_C2960734.html" TargetMode="External"/><Relationship Id="rId24" Type="http://schemas.openxmlformats.org/officeDocument/2006/relationships/hyperlink" Target="https://www.lcsc.com/product-detail/Chip-Resistor-Surface-Mount_FH-Guangdong-Fenghua-Advanced-Tech-RC-02W5101FT_C294638.html" TargetMode="External"/><Relationship Id="rId5" Type="http://schemas.openxmlformats.org/officeDocument/2006/relationships/hyperlink" Target="https://www.lcsc.com/product-detail/Multilayer-Ceramic-Capacitors-MLCC-SMD-SMT_YAGEO-CC1206KKX7RCBB472_C107198.html" TargetMode="External"/><Relationship Id="rId15" Type="http://schemas.openxmlformats.org/officeDocument/2006/relationships/hyperlink" Target="https://www.lcsc.com/product-detail/WiFi-Modules_Espressif-Systems-ESP32-S3-WROOM-1-N4_C2913197.html" TargetMode="External"/><Relationship Id="rId23" Type="http://schemas.openxmlformats.org/officeDocument/2006/relationships/hyperlink" Target="https://www.lcsc.com/product-detail/Light-Emitting-Diodes-span-style-background-color-ff0-LED-span_XINGLIGHT-XL-1005SURC_C965790.html" TargetMode="External"/><Relationship Id="rId10" Type="http://schemas.openxmlformats.org/officeDocument/2006/relationships/hyperlink" Target="https://www.lcsc.com/product-detail/Chip-Resistor-Surface-Mount_YAGEO-RC0603JR-07330RL_C105879.html" TargetMode="External"/><Relationship Id="rId19" Type="http://schemas.openxmlformats.org/officeDocument/2006/relationships/hyperlink" Target="https://www.lcsc.com/product-detail/Multilayer-Ceramic-Capacitors-MLCC-SMD-SMT_Walsin-Tech-Corp-0402B104K500CT_C152814.html" TargetMode="External"/><Relationship Id="rId4" Type="http://schemas.openxmlformats.org/officeDocument/2006/relationships/hyperlink" Target="https://www.lcsc.com/product-detail/Multilayer-Ceramic-Capacitors-MLCC-SMD-SMT_Samsung-Electro-Mechanics-CL10A475KA8NQNC_C69335.html" TargetMode="External"/><Relationship Id="rId9" Type="http://schemas.openxmlformats.org/officeDocument/2006/relationships/hyperlink" Target="https://www.lcsc.com/product-detail/MOSFETs_Yangzhou-Yangjie-Elec-Tech-YJL2302B_C699316.html" TargetMode="External"/><Relationship Id="rId14" Type="http://schemas.openxmlformats.org/officeDocument/2006/relationships/hyperlink" Target="https://www.lcsc.com/product-detail/Tactile-Switches_YIYUAN-YTS-B003-2A_C2910695.html" TargetMode="External"/><Relationship Id="rId22" Type="http://schemas.openxmlformats.org/officeDocument/2006/relationships/hyperlink" Target="https://www.lcsc.com/product-detail/Chip-Resistor-Surface-Mount_LIZ-Elec-CR0603JA0103G_C101254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Light-Emitting-Diodes-LED_Everlight-Elec-16-213-GHC-YR1S1-3T_C74338.html" TargetMode="External"/><Relationship Id="rId13" Type="http://schemas.openxmlformats.org/officeDocument/2006/relationships/hyperlink" Target="https://www.lcsc.com/product-detail/Chip-Resistor-Surface-Mount_YAGEO-RC0603FR-071ML_C105578.html" TargetMode="External"/><Relationship Id="rId18" Type="http://schemas.openxmlformats.org/officeDocument/2006/relationships/hyperlink" Target="https://www.lcsc.com/product-detail/Linear-Voltage-Regulators-LDO_UTC-Unisonic-Tech-LR1107G-33-AB3-C-R_C171498.html" TargetMode="External"/><Relationship Id="rId26" Type="http://schemas.openxmlformats.org/officeDocument/2006/relationships/drawing" Target="../drawings/drawing3.xml"/><Relationship Id="rId3" Type="http://schemas.openxmlformats.org/officeDocument/2006/relationships/hyperlink" Target="https://www.lcsc.com/product-detail/Aluminum-Electrolytic-Capacitors-SMD_ROQANG-RT1A221M0605_C267466.html" TargetMode="External"/><Relationship Id="rId21" Type="http://schemas.openxmlformats.org/officeDocument/2006/relationships/hyperlink" Target="https://www.lcsc.com/product-detail/TVS_Littelfuse-SP0503BAHTG_C7074.html" TargetMode="External"/><Relationship Id="rId7" Type="http://schemas.openxmlformats.org/officeDocument/2006/relationships/hyperlink" Target="https://www.lcsc.com/product-detail/USB-Connectors_Korean-Hroparts-Elec-TYPE-C-31-M-12_C165948.html" TargetMode="External"/><Relationship Id="rId12" Type="http://schemas.openxmlformats.org/officeDocument/2006/relationships/hyperlink" Target="https://www.lcsc.com/product-detail/Chip-Resistor-Surface-Mount_YAGEO-RC0603FR-07100RL_C105588.html" TargetMode="External"/><Relationship Id="rId17" Type="http://schemas.openxmlformats.org/officeDocument/2006/relationships/hyperlink" Target="https://www.lcsc.com/product-detail/Infrared-remote-receiver_Everlight-Elec-IRM-3638T_C16216.html" TargetMode="External"/><Relationship Id="rId25" Type="http://schemas.openxmlformats.org/officeDocument/2006/relationships/hyperlink" Target="https://www.lcsc.com/product-detail/Infrared-IR-LEDs_Everlight-Elec-IR333-A_C95407.html" TargetMode="External"/><Relationship Id="rId2" Type="http://schemas.openxmlformats.org/officeDocument/2006/relationships/hyperlink" Target="https://www.lcsc.com/product-detail/Multilayer-Ceramic-Capacitors-MLCC-SMD-SMT_YAGEO-CC0603KRX5R8BB105_C14664.html" TargetMode="External"/><Relationship Id="rId16" Type="http://schemas.openxmlformats.org/officeDocument/2006/relationships/hyperlink" Target="https://www.lcsc.com/product-detail/Infrared-remote-receiver_Everlight-Elec-IRM-H638T-TR2_C91447.html" TargetMode="External"/><Relationship Id="rId20" Type="http://schemas.openxmlformats.org/officeDocument/2006/relationships/hyperlink" Target="https://www.lcsc.com/product-detail/Multilayer-Ceramic-Capacitors-MLCC-SMD-SMT_Samsung-Electro-Mechanics-CL10A106MA8NRNC_C96446.html" TargetMode="External"/><Relationship Id="rId1" Type="http://schemas.openxmlformats.org/officeDocument/2006/relationships/hyperlink" Target="https://www.lcsc.com/product-detail/Multilayer-Ceramic-Capacitors-MLCC-SMD-SMT_Samsung-Electro-Mechanics-CL21A226MAYNNNE_C602037.html" TargetMode="External"/><Relationship Id="rId6" Type="http://schemas.openxmlformats.org/officeDocument/2006/relationships/hyperlink" Target="https://www.lcsc.com/product-detail/Resettable-Fuses_BHFUSE-BSMD0603L-100_C2757929.html" TargetMode="External"/><Relationship Id="rId11" Type="http://schemas.openxmlformats.org/officeDocument/2006/relationships/hyperlink" Target="https://www.lcsc.com/product-detail/Chip-Resistor-Surface-Mount_FOJAN-FRC1210F27R0TS_C2960734.html" TargetMode="External"/><Relationship Id="rId24" Type="http://schemas.openxmlformats.org/officeDocument/2006/relationships/hyperlink" Target="https://www.lcsc.com/product-detail/Chip-Resistor-Surface-Mount_FH-Guangdong-Fenghua-Advanced-Tech-RC-02W5101FT_C294638.html" TargetMode="External"/><Relationship Id="rId5" Type="http://schemas.openxmlformats.org/officeDocument/2006/relationships/hyperlink" Target="https://www.lcsc.com/product-detail/Multilayer-Ceramic-Capacitors-MLCC-SMD-SMT_YAGEO-CC1206KKX7RCBB472_C107198.html" TargetMode="External"/><Relationship Id="rId15" Type="http://schemas.openxmlformats.org/officeDocument/2006/relationships/hyperlink" Target="https://www.lcsc.com/product-detail/WiFi-Modules_Espressif-Systems-ESP32-S3-WROOM-1-N4_C2913197.html" TargetMode="External"/><Relationship Id="rId23" Type="http://schemas.openxmlformats.org/officeDocument/2006/relationships/hyperlink" Target="https://www.lcsc.com/product-detail/Light-Emitting-Diodes-span-style-background-color-ff0-LED-span_XINGLIGHT-XL-1005SURC_C965790.html" TargetMode="External"/><Relationship Id="rId10" Type="http://schemas.openxmlformats.org/officeDocument/2006/relationships/hyperlink" Target="https://www.lcsc.com/product-detail/Chip-Resistor-Surface-Mount_YAGEO-RC0603JR-07330RL_C105879.html" TargetMode="External"/><Relationship Id="rId19" Type="http://schemas.openxmlformats.org/officeDocument/2006/relationships/hyperlink" Target="https://www.lcsc.com/product-detail/Multilayer-Ceramic-Capacitors-MLCC-SMD-SMT_Walsin-Tech-Corp-0402B104K500CT_C152814.html" TargetMode="External"/><Relationship Id="rId4" Type="http://schemas.openxmlformats.org/officeDocument/2006/relationships/hyperlink" Target="https://www.lcsc.com/product-detail/Multilayer-Ceramic-Capacitors-MLCC-SMD-SMT_Samsung-Electro-Mechanics-CL10A475KA8NQNC_C69335.html" TargetMode="External"/><Relationship Id="rId9" Type="http://schemas.openxmlformats.org/officeDocument/2006/relationships/hyperlink" Target="https://www.lcsc.com/product-detail/MOSFETs_Yangzhou-Yangjie-Elec-Tech-YJL2302B_C699316.html" TargetMode="External"/><Relationship Id="rId14" Type="http://schemas.openxmlformats.org/officeDocument/2006/relationships/hyperlink" Target="https://www.lcsc.com/product-detail/Tactile-Switches_YIYUAN-YTS-B003-2A_C2910695.html" TargetMode="External"/><Relationship Id="rId22" Type="http://schemas.openxmlformats.org/officeDocument/2006/relationships/hyperlink" Target="https://www.lcsc.com/product-detail/Chip-Resistor-Surface-Mount_LIZ-Elec-CR0603JA0103G_C10125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9"/>
  <sheetViews>
    <sheetView tabSelected="1" topLeftCell="A27" workbookViewId="0">
      <selection activeCell="A55" sqref="A55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25.7109375" bestFit="1" customWidth="1"/>
    <col min="11" max="11" width="6.14062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5.42578125" bestFit="1" customWidth="1"/>
    <col min="16" max="16" width="19.7109375" bestFit="1" customWidth="1"/>
    <col min="17" max="17" width="20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91"/>
      <c r="L1" s="91"/>
      <c r="M1" s="91"/>
      <c r="N1" s="91"/>
      <c r="O1" s="91"/>
      <c r="P1" s="91"/>
      <c r="Q1" s="91"/>
      <c r="R1" s="91"/>
      <c r="S1" s="92"/>
    </row>
    <row r="2" spans="1:19" ht="32.25" thickBot="1" x14ac:dyDescent="0.3">
      <c r="A2" s="1"/>
      <c r="B2" s="21"/>
      <c r="C2" s="38"/>
      <c r="D2" s="11" t="s">
        <v>0</v>
      </c>
      <c r="E2" s="11"/>
      <c r="F2" s="53" t="s">
        <v>187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9"/>
      <c r="D3" s="13" t="s">
        <v>1</v>
      </c>
      <c r="E3" s="13"/>
      <c r="F3" s="54" t="s">
        <v>188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93"/>
    </row>
    <row r="4" spans="1:19" x14ac:dyDescent="0.25">
      <c r="A4" s="1"/>
      <c r="B4" s="22"/>
      <c r="C4" s="39"/>
      <c r="D4" s="13" t="s">
        <v>2</v>
      </c>
      <c r="E4" s="13"/>
      <c r="F4" s="55" t="s">
        <v>188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94"/>
    </row>
    <row r="5" spans="1:19" x14ac:dyDescent="0.25">
      <c r="A5" s="1"/>
      <c r="B5" s="22"/>
      <c r="C5" s="39"/>
      <c r="D5" s="13" t="s">
        <v>3</v>
      </c>
      <c r="E5" s="13"/>
      <c r="F5" s="56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94"/>
    </row>
    <row r="6" spans="1:19" x14ac:dyDescent="0.25">
      <c r="A6" s="1"/>
      <c r="B6" s="23"/>
      <c r="C6" s="40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94"/>
    </row>
    <row r="7" spans="1:19" x14ac:dyDescent="0.25">
      <c r="A7" s="1"/>
      <c r="B7" s="24"/>
      <c r="C7" s="41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94"/>
    </row>
    <row r="8" spans="1:19" ht="15.75" thickBot="1" x14ac:dyDescent="0.3">
      <c r="A8" s="1"/>
      <c r="B8" s="27"/>
      <c r="C8" s="42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94"/>
    </row>
    <row r="9" spans="1:19" ht="15.75" thickBot="1" x14ac:dyDescent="0.3">
      <c r="A9" s="1"/>
      <c r="B9" s="30" t="s">
        <v>4</v>
      </c>
      <c r="C9" s="30" t="s">
        <v>6</v>
      </c>
      <c r="D9" s="31" t="s">
        <v>16</v>
      </c>
      <c r="E9" s="30" t="s">
        <v>45</v>
      </c>
      <c r="F9" s="31" t="s">
        <v>74</v>
      </c>
      <c r="G9" s="30" t="s">
        <v>95</v>
      </c>
      <c r="H9" s="31" t="s">
        <v>119</v>
      </c>
      <c r="I9" s="30" t="s">
        <v>176</v>
      </c>
      <c r="J9" s="31" t="s">
        <v>137</v>
      </c>
      <c r="K9" s="59" t="s">
        <v>177</v>
      </c>
      <c r="L9" s="30" t="s">
        <v>170</v>
      </c>
      <c r="M9" s="62" t="s">
        <v>178</v>
      </c>
      <c r="N9" s="31" t="s">
        <v>179</v>
      </c>
      <c r="O9" s="30" t="s">
        <v>180</v>
      </c>
      <c r="P9" s="31" t="s">
        <v>181</v>
      </c>
      <c r="Q9" s="30" t="s">
        <v>182</v>
      </c>
      <c r="R9" s="31" t="s">
        <v>183</v>
      </c>
      <c r="S9" s="30" t="s">
        <v>184</v>
      </c>
    </row>
    <row r="10" spans="1:19" ht="15.75" thickBot="1" x14ac:dyDescent="0.3">
      <c r="A10" s="1"/>
      <c r="B10" s="37">
        <f>ROW(B10) - ROW($B$9)</f>
        <v>1</v>
      </c>
      <c r="C10" s="66" t="s">
        <v>7</v>
      </c>
      <c r="D10" s="45" t="s">
        <v>17</v>
      </c>
      <c r="E10" s="46" t="s">
        <v>46</v>
      </c>
      <c r="F10" s="45" t="s">
        <v>75</v>
      </c>
      <c r="G10" s="46" t="s">
        <v>96</v>
      </c>
      <c r="H10" s="45" t="s">
        <v>120</v>
      </c>
      <c r="I10" s="45" t="s">
        <v>175</v>
      </c>
      <c r="J10" s="45" t="s">
        <v>138</v>
      </c>
      <c r="K10" s="60" t="s">
        <v>157</v>
      </c>
      <c r="L10" s="45">
        <v>2</v>
      </c>
      <c r="M10" s="47">
        <f>L10*20</f>
        <v>40</v>
      </c>
      <c r="N10" s="45">
        <v>60</v>
      </c>
      <c r="O10" s="68" t="s">
        <v>190</v>
      </c>
      <c r="P10" s="50">
        <v>2.35E-2</v>
      </c>
      <c r="Q10" s="50">
        <f>P10*N10</f>
        <v>1.41</v>
      </c>
      <c r="R10" s="46"/>
      <c r="S10" s="52"/>
    </row>
    <row r="11" spans="1:19" ht="15.75" thickBot="1" x14ac:dyDescent="0.3">
      <c r="A11" s="1"/>
      <c r="B11" s="37">
        <f t="shared" ref="B11:B37" si="0">ROW(B11) - ROW($B$9)</f>
        <v>2</v>
      </c>
      <c r="C11" s="67" t="s">
        <v>7</v>
      </c>
      <c r="D11" s="48" t="s">
        <v>18</v>
      </c>
      <c r="E11" s="49" t="s">
        <v>47</v>
      </c>
      <c r="F11" s="48" t="s">
        <v>76</v>
      </c>
      <c r="G11" s="70" t="s">
        <v>97</v>
      </c>
      <c r="H11" s="48" t="s">
        <v>121</v>
      </c>
      <c r="I11" s="48" t="s">
        <v>191</v>
      </c>
      <c r="J11" s="48" t="s">
        <v>192</v>
      </c>
      <c r="K11" s="61" t="s">
        <v>158</v>
      </c>
      <c r="L11" s="48">
        <v>2</v>
      </c>
      <c r="M11" s="48">
        <f t="shared" ref="M11:M37" si="1">L11*20</f>
        <v>40</v>
      </c>
      <c r="N11" s="48">
        <v>100</v>
      </c>
      <c r="O11" s="69" t="s">
        <v>190</v>
      </c>
      <c r="P11" s="51">
        <v>2E-3</v>
      </c>
      <c r="Q11" s="51">
        <f t="shared" ref="Q11:Q37" si="2">P11*N11</f>
        <v>0.2</v>
      </c>
      <c r="R11" s="49"/>
      <c r="S11" s="51"/>
    </row>
    <row r="12" spans="1:19" ht="15.75" thickBot="1" x14ac:dyDescent="0.3">
      <c r="A12" s="1"/>
      <c r="B12" s="37">
        <f>ROW(B12) - ROW($B$9)</f>
        <v>3</v>
      </c>
      <c r="C12" s="66" t="s">
        <v>7</v>
      </c>
      <c r="D12" s="45" t="s">
        <v>19</v>
      </c>
      <c r="E12" s="46" t="s">
        <v>48</v>
      </c>
      <c r="F12" s="45" t="s">
        <v>77</v>
      </c>
      <c r="G12" s="46" t="s">
        <v>98</v>
      </c>
      <c r="H12" s="45" t="s">
        <v>122</v>
      </c>
      <c r="I12" s="45"/>
      <c r="J12" s="45" t="s">
        <v>139</v>
      </c>
      <c r="K12" s="60" t="s">
        <v>159</v>
      </c>
      <c r="L12" s="64">
        <v>1</v>
      </c>
      <c r="M12" s="45">
        <f t="shared" si="1"/>
        <v>20</v>
      </c>
      <c r="N12" s="45">
        <v>100</v>
      </c>
      <c r="O12" s="68" t="s">
        <v>190</v>
      </c>
      <c r="P12" s="50">
        <v>4.5999999999999999E-3</v>
      </c>
      <c r="Q12" s="50">
        <f t="shared" si="2"/>
        <v>0.45999999999999996</v>
      </c>
      <c r="R12" s="46"/>
      <c r="S12" s="50"/>
    </row>
    <row r="13" spans="1:19" ht="36.75" thickBot="1" x14ac:dyDescent="0.3">
      <c r="A13" s="1"/>
      <c r="B13" s="37">
        <f t="shared" si="0"/>
        <v>4</v>
      </c>
      <c r="C13" s="67" t="s">
        <v>7</v>
      </c>
      <c r="D13" s="48" t="s">
        <v>20</v>
      </c>
      <c r="E13" s="49" t="s">
        <v>49</v>
      </c>
      <c r="F13" s="48" t="s">
        <v>189</v>
      </c>
      <c r="G13" s="49" t="s">
        <v>78</v>
      </c>
      <c r="H13" s="48" t="s">
        <v>123</v>
      </c>
      <c r="I13" s="48" t="s">
        <v>175</v>
      </c>
      <c r="J13" s="48" t="s">
        <v>140</v>
      </c>
      <c r="K13" s="61" t="s">
        <v>160</v>
      </c>
      <c r="L13" s="48">
        <v>2</v>
      </c>
      <c r="M13" s="48">
        <f t="shared" si="1"/>
        <v>40</v>
      </c>
      <c r="N13" s="48">
        <v>60</v>
      </c>
      <c r="O13" s="69" t="s">
        <v>190</v>
      </c>
      <c r="P13" s="51">
        <v>3.2899999999999999E-2</v>
      </c>
      <c r="Q13" s="51">
        <f t="shared" si="2"/>
        <v>1.974</v>
      </c>
      <c r="R13" s="49"/>
      <c r="S13" s="51"/>
    </row>
    <row r="14" spans="1:19" ht="15.75" thickBot="1" x14ac:dyDescent="0.3">
      <c r="A14" s="1"/>
      <c r="B14" s="37">
        <f>ROW(B14) - ROW($B$9)</f>
        <v>5</v>
      </c>
      <c r="C14" s="66" t="s">
        <v>7</v>
      </c>
      <c r="D14" s="45" t="s">
        <v>21</v>
      </c>
      <c r="E14" s="46" t="s">
        <v>50</v>
      </c>
      <c r="F14" s="45" t="s">
        <v>77</v>
      </c>
      <c r="G14" s="46" t="s">
        <v>99</v>
      </c>
      <c r="H14" s="45" t="s">
        <v>120</v>
      </c>
      <c r="I14" s="45" t="s">
        <v>175</v>
      </c>
      <c r="J14" s="45" t="s">
        <v>141</v>
      </c>
      <c r="K14" s="60" t="s">
        <v>161</v>
      </c>
      <c r="L14" s="64">
        <v>1</v>
      </c>
      <c r="M14" s="45">
        <f t="shared" si="1"/>
        <v>20</v>
      </c>
      <c r="N14" s="45">
        <v>40</v>
      </c>
      <c r="O14" s="68" t="s">
        <v>190</v>
      </c>
      <c r="P14" s="50">
        <v>1.7299999999999999E-2</v>
      </c>
      <c r="Q14" s="50">
        <f t="shared" si="2"/>
        <v>0.69199999999999995</v>
      </c>
      <c r="R14" s="46"/>
      <c r="S14" s="50"/>
    </row>
    <row r="15" spans="1:19" ht="15.75" thickBot="1" x14ac:dyDescent="0.3">
      <c r="A15" s="1"/>
      <c r="B15" s="37">
        <f t="shared" si="0"/>
        <v>6</v>
      </c>
      <c r="C15" s="67" t="s">
        <v>7</v>
      </c>
      <c r="D15" s="48" t="s">
        <v>22</v>
      </c>
      <c r="E15" s="49" t="s">
        <v>51</v>
      </c>
      <c r="F15" s="48" t="s">
        <v>77</v>
      </c>
      <c r="G15" s="70" t="s">
        <v>100</v>
      </c>
      <c r="H15" s="48" t="s">
        <v>121</v>
      </c>
      <c r="I15" s="48" t="s">
        <v>193</v>
      </c>
      <c r="J15" s="48" t="s">
        <v>194</v>
      </c>
      <c r="K15" s="61" t="s">
        <v>162</v>
      </c>
      <c r="L15" s="48">
        <v>1</v>
      </c>
      <c r="M15" s="48">
        <f t="shared" si="1"/>
        <v>20</v>
      </c>
      <c r="N15" s="48">
        <v>40</v>
      </c>
      <c r="O15" s="69" t="s">
        <v>190</v>
      </c>
      <c r="P15" s="51">
        <v>2.3400000000000001E-2</v>
      </c>
      <c r="Q15" s="51">
        <f t="shared" si="2"/>
        <v>0.93600000000000005</v>
      </c>
      <c r="R15" s="49"/>
      <c r="S15" s="51"/>
    </row>
    <row r="16" spans="1:19" ht="15.75" thickBot="1" x14ac:dyDescent="0.3">
      <c r="A16" s="1"/>
      <c r="B16" s="37">
        <f>ROW(B16) - ROW($B$9)</f>
        <v>7</v>
      </c>
      <c r="C16" s="66" t="s">
        <v>7</v>
      </c>
      <c r="D16" s="45" t="s">
        <v>23</v>
      </c>
      <c r="E16" s="46" t="s">
        <v>52</v>
      </c>
      <c r="F16" s="45" t="s">
        <v>79</v>
      </c>
      <c r="G16" s="46" t="s">
        <v>101</v>
      </c>
      <c r="H16" s="45" t="s">
        <v>122</v>
      </c>
      <c r="I16" s="45"/>
      <c r="J16" s="45" t="s">
        <v>142</v>
      </c>
      <c r="K16" s="60" t="s">
        <v>163</v>
      </c>
      <c r="L16" s="64">
        <v>1</v>
      </c>
      <c r="M16" s="45">
        <f t="shared" si="1"/>
        <v>20</v>
      </c>
      <c r="N16" s="45">
        <v>50</v>
      </c>
      <c r="O16" s="68" t="s">
        <v>190</v>
      </c>
      <c r="P16" s="50">
        <v>1.4800000000000001E-2</v>
      </c>
      <c r="Q16" s="50">
        <f t="shared" si="2"/>
        <v>0.74</v>
      </c>
      <c r="R16" s="46"/>
      <c r="S16" s="50"/>
    </row>
    <row r="17" spans="1:19" ht="15.75" thickBot="1" x14ac:dyDescent="0.3">
      <c r="A17" s="1"/>
      <c r="B17" s="37">
        <f t="shared" si="0"/>
        <v>8</v>
      </c>
      <c r="C17" s="67" t="s">
        <v>7</v>
      </c>
      <c r="D17" s="48" t="s">
        <v>24</v>
      </c>
      <c r="E17" s="49" t="s">
        <v>53</v>
      </c>
      <c r="F17" s="48" t="s">
        <v>76</v>
      </c>
      <c r="G17" s="49" t="s">
        <v>175</v>
      </c>
      <c r="H17" s="48" t="s">
        <v>175</v>
      </c>
      <c r="I17" s="48" t="s">
        <v>175</v>
      </c>
      <c r="J17" s="48" t="s">
        <v>175</v>
      </c>
      <c r="K17" s="61" t="s">
        <v>175</v>
      </c>
      <c r="L17" s="48">
        <v>2</v>
      </c>
      <c r="M17" s="48">
        <f t="shared" si="1"/>
        <v>40</v>
      </c>
      <c r="N17" s="48" t="s">
        <v>175</v>
      </c>
      <c r="O17" s="48" t="s">
        <v>175</v>
      </c>
      <c r="P17" s="51" t="s">
        <v>175</v>
      </c>
      <c r="Q17" s="51" t="s">
        <v>175</v>
      </c>
      <c r="R17" s="71" t="s">
        <v>198</v>
      </c>
      <c r="S17" s="51"/>
    </row>
    <row r="18" spans="1:19" ht="24.75" thickBot="1" x14ac:dyDescent="0.3">
      <c r="A18" s="1"/>
      <c r="B18" s="37">
        <f>ROW(B18) - ROW($B$9)</f>
        <v>9</v>
      </c>
      <c r="C18" s="66" t="s">
        <v>171</v>
      </c>
      <c r="D18" s="45" t="s">
        <v>25</v>
      </c>
      <c r="E18" s="46" t="s">
        <v>54</v>
      </c>
      <c r="F18" s="45" t="s">
        <v>80</v>
      </c>
      <c r="G18" s="46" t="s">
        <v>102</v>
      </c>
      <c r="H18" s="45" t="s">
        <v>124</v>
      </c>
      <c r="I18" s="45" t="s">
        <v>175</v>
      </c>
      <c r="J18" s="45" t="s">
        <v>195</v>
      </c>
      <c r="K18" s="60" t="s">
        <v>175</v>
      </c>
      <c r="L18" s="64">
        <v>1</v>
      </c>
      <c r="M18" s="45">
        <f t="shared" si="1"/>
        <v>20</v>
      </c>
      <c r="N18" s="45">
        <v>25</v>
      </c>
      <c r="O18" s="68" t="s">
        <v>190</v>
      </c>
      <c r="P18" s="50">
        <v>0.17599999999999999</v>
      </c>
      <c r="Q18" s="50">
        <f t="shared" si="2"/>
        <v>4.3999999999999995</v>
      </c>
      <c r="R18" s="46"/>
      <c r="S18" s="50"/>
    </row>
    <row r="19" spans="1:19" ht="24.75" thickBot="1" x14ac:dyDescent="0.3">
      <c r="A19" s="1"/>
      <c r="B19" s="37">
        <f t="shared" si="0"/>
        <v>10</v>
      </c>
      <c r="C19" s="67" t="s">
        <v>8</v>
      </c>
      <c r="D19" s="48" t="s">
        <v>26</v>
      </c>
      <c r="E19" s="49" t="s">
        <v>55</v>
      </c>
      <c r="F19" s="48" t="s">
        <v>81</v>
      </c>
      <c r="G19" s="49" t="s">
        <v>103</v>
      </c>
      <c r="H19" s="48" t="s">
        <v>125</v>
      </c>
      <c r="I19" s="48" t="s">
        <v>175</v>
      </c>
      <c r="J19" s="48" t="s">
        <v>143</v>
      </c>
      <c r="K19" s="61" t="s">
        <v>175</v>
      </c>
      <c r="L19" s="48">
        <v>1</v>
      </c>
      <c r="M19" s="48">
        <f t="shared" si="1"/>
        <v>20</v>
      </c>
      <c r="N19" s="48">
        <v>25</v>
      </c>
      <c r="O19" s="69" t="s">
        <v>190</v>
      </c>
      <c r="P19" s="51">
        <v>7.1599999999999997E-2</v>
      </c>
      <c r="Q19" s="51">
        <f t="shared" si="2"/>
        <v>1.79</v>
      </c>
      <c r="R19" s="49"/>
      <c r="S19" s="51"/>
    </row>
    <row r="20" spans="1:19" ht="24.75" thickBot="1" x14ac:dyDescent="0.3">
      <c r="A20" s="1"/>
      <c r="B20" s="37">
        <f>ROW(B20) - ROW($B$9)</f>
        <v>11</v>
      </c>
      <c r="C20" s="66" t="s">
        <v>172</v>
      </c>
      <c r="D20" s="45" t="s">
        <v>27</v>
      </c>
      <c r="E20" s="46" t="s">
        <v>56</v>
      </c>
      <c r="F20" s="45" t="s">
        <v>189</v>
      </c>
      <c r="G20" s="46" t="s">
        <v>104</v>
      </c>
      <c r="H20" s="45" t="s">
        <v>126</v>
      </c>
      <c r="I20" s="45" t="s">
        <v>175</v>
      </c>
      <c r="J20" s="45" t="s">
        <v>144</v>
      </c>
      <c r="K20" s="60" t="s">
        <v>175</v>
      </c>
      <c r="L20" s="64">
        <v>1</v>
      </c>
      <c r="M20" s="45">
        <f t="shared" si="1"/>
        <v>20</v>
      </c>
      <c r="N20" s="45">
        <v>25</v>
      </c>
      <c r="O20" s="68" t="s">
        <v>190</v>
      </c>
      <c r="P20" s="50">
        <v>0.2276</v>
      </c>
      <c r="Q20" s="50">
        <f t="shared" si="2"/>
        <v>5.6899999999999995</v>
      </c>
      <c r="R20" s="46"/>
      <c r="S20" s="50"/>
    </row>
    <row r="21" spans="1:19" ht="15.75" thickBot="1" x14ac:dyDescent="0.3">
      <c r="A21" s="1"/>
      <c r="B21" s="37">
        <f t="shared" si="0"/>
        <v>12</v>
      </c>
      <c r="C21" s="67" t="s">
        <v>173</v>
      </c>
      <c r="D21" s="48" t="s">
        <v>28</v>
      </c>
      <c r="E21" s="49" t="s">
        <v>57</v>
      </c>
      <c r="F21" s="48" t="s">
        <v>189</v>
      </c>
      <c r="G21" s="48" t="s">
        <v>82</v>
      </c>
      <c r="H21" s="48" t="s">
        <v>175</v>
      </c>
      <c r="I21" s="48" t="s">
        <v>175</v>
      </c>
      <c r="J21" s="48" t="s">
        <v>175</v>
      </c>
      <c r="K21" s="61" t="s">
        <v>175</v>
      </c>
      <c r="L21" s="48">
        <v>1</v>
      </c>
      <c r="M21" s="48">
        <f t="shared" si="1"/>
        <v>20</v>
      </c>
      <c r="N21" s="48" t="s">
        <v>175</v>
      </c>
      <c r="O21" s="48" t="s">
        <v>175</v>
      </c>
      <c r="P21" s="51" t="s">
        <v>175</v>
      </c>
      <c r="Q21" s="51" t="s">
        <v>175</v>
      </c>
      <c r="R21" s="71" t="s">
        <v>198</v>
      </c>
      <c r="S21" s="51"/>
    </row>
    <row r="22" spans="1:19" ht="24.75" thickBot="1" x14ac:dyDescent="0.3">
      <c r="A22" s="1"/>
      <c r="B22" s="37">
        <f>ROW(B22) - ROW($B$9)</f>
        <v>13</v>
      </c>
      <c r="C22" s="66" t="s">
        <v>9</v>
      </c>
      <c r="D22" s="45" t="s">
        <v>29</v>
      </c>
      <c r="E22" s="46" t="s">
        <v>58</v>
      </c>
      <c r="F22" s="45" t="s">
        <v>83</v>
      </c>
      <c r="G22" s="46" t="s">
        <v>105</v>
      </c>
      <c r="H22" s="45" t="s">
        <v>127</v>
      </c>
      <c r="I22" s="45" t="s">
        <v>175</v>
      </c>
      <c r="J22" s="45" t="s">
        <v>145</v>
      </c>
      <c r="K22" s="60" t="s">
        <v>175</v>
      </c>
      <c r="L22" s="64">
        <v>1</v>
      </c>
      <c r="M22" s="45">
        <f t="shared" si="1"/>
        <v>20</v>
      </c>
      <c r="N22" s="45">
        <v>30</v>
      </c>
      <c r="O22" s="68" t="s">
        <v>190</v>
      </c>
      <c r="P22" s="50">
        <v>6.6000000000000003E-2</v>
      </c>
      <c r="Q22" s="50">
        <f t="shared" si="2"/>
        <v>1.98</v>
      </c>
      <c r="R22" s="46"/>
      <c r="S22" s="50"/>
    </row>
    <row r="23" spans="1:19" ht="15.75" thickBot="1" x14ac:dyDescent="0.3">
      <c r="A23" s="1"/>
      <c r="B23" s="37">
        <f t="shared" si="0"/>
        <v>14</v>
      </c>
      <c r="C23" s="67" t="s">
        <v>9</v>
      </c>
      <c r="D23" s="48" t="s">
        <v>30</v>
      </c>
      <c r="E23" s="49" t="s">
        <v>59</v>
      </c>
      <c r="F23" s="48" t="s">
        <v>83</v>
      </c>
      <c r="G23" s="70" t="s">
        <v>106</v>
      </c>
      <c r="H23" s="48" t="s">
        <v>128</v>
      </c>
      <c r="I23" s="48" t="s">
        <v>199</v>
      </c>
      <c r="J23" s="48" t="s">
        <v>200</v>
      </c>
      <c r="K23" s="61" t="s">
        <v>175</v>
      </c>
      <c r="L23" s="48">
        <v>1</v>
      </c>
      <c r="M23" s="48">
        <f t="shared" si="1"/>
        <v>20</v>
      </c>
      <c r="N23" s="48">
        <v>100</v>
      </c>
      <c r="O23" s="69" t="s">
        <v>190</v>
      </c>
      <c r="P23" s="51">
        <v>5.8999999999999999E-3</v>
      </c>
      <c r="Q23" s="51">
        <f t="shared" si="2"/>
        <v>0.59</v>
      </c>
      <c r="R23" s="49"/>
      <c r="S23" s="51"/>
    </row>
    <row r="24" spans="1:19" ht="24.75" thickBot="1" x14ac:dyDescent="0.3">
      <c r="A24" s="1"/>
      <c r="B24" s="37">
        <f>ROW(B24) - ROW($B$9)</f>
        <v>15</v>
      </c>
      <c r="C24" s="66" t="s">
        <v>10</v>
      </c>
      <c r="D24" s="45" t="s">
        <v>31</v>
      </c>
      <c r="E24" s="46" t="s">
        <v>60</v>
      </c>
      <c r="F24" s="45" t="s">
        <v>84</v>
      </c>
      <c r="G24" s="46" t="s">
        <v>107</v>
      </c>
      <c r="H24" s="45" t="s">
        <v>129</v>
      </c>
      <c r="I24" s="45" t="s">
        <v>175</v>
      </c>
      <c r="J24" s="45" t="s">
        <v>146</v>
      </c>
      <c r="K24" s="60" t="s">
        <v>175</v>
      </c>
      <c r="L24" s="64">
        <v>8</v>
      </c>
      <c r="M24" s="45">
        <f t="shared" si="1"/>
        <v>160</v>
      </c>
      <c r="N24" s="45">
        <v>180</v>
      </c>
      <c r="O24" s="68" t="s">
        <v>190</v>
      </c>
      <c r="P24" s="50">
        <v>4.8099999999999997E-2</v>
      </c>
      <c r="Q24" s="50">
        <f t="shared" si="2"/>
        <v>8.6579999999999995</v>
      </c>
      <c r="R24" s="46"/>
      <c r="S24" s="50"/>
    </row>
    <row r="25" spans="1:19" ht="15.75" thickBot="1" x14ac:dyDescent="0.3">
      <c r="A25" s="1"/>
      <c r="B25" s="37">
        <f t="shared" si="0"/>
        <v>16</v>
      </c>
      <c r="C25" s="67" t="s">
        <v>174</v>
      </c>
      <c r="D25" s="48" t="s">
        <v>32</v>
      </c>
      <c r="E25" s="49" t="s">
        <v>61</v>
      </c>
      <c r="F25" s="48" t="s">
        <v>189</v>
      </c>
      <c r="G25" s="49" t="s">
        <v>175</v>
      </c>
      <c r="H25" s="48" t="s">
        <v>175</v>
      </c>
      <c r="I25" s="48" t="s">
        <v>175</v>
      </c>
      <c r="J25" s="48" t="s">
        <v>175</v>
      </c>
      <c r="K25" s="61" t="s">
        <v>175</v>
      </c>
      <c r="L25" s="48">
        <v>3</v>
      </c>
      <c r="M25" s="48">
        <f t="shared" si="1"/>
        <v>60</v>
      </c>
      <c r="N25" s="48" t="s">
        <v>175</v>
      </c>
      <c r="O25" s="48" t="s">
        <v>175</v>
      </c>
      <c r="P25" s="51" t="s">
        <v>175</v>
      </c>
      <c r="Q25" s="51" t="s">
        <v>175</v>
      </c>
      <c r="R25" s="71" t="s">
        <v>198</v>
      </c>
      <c r="S25" s="51"/>
    </row>
    <row r="26" spans="1:19" ht="60.75" thickBot="1" x14ac:dyDescent="0.3">
      <c r="A26" s="1"/>
      <c r="B26" s="37">
        <f>ROW(B26) - ROW($B$9)</f>
        <v>17</v>
      </c>
      <c r="C26" s="66" t="s">
        <v>11</v>
      </c>
      <c r="D26" s="45" t="s">
        <v>33</v>
      </c>
      <c r="E26" s="46" t="s">
        <v>62</v>
      </c>
      <c r="F26" s="45" t="s">
        <v>85</v>
      </c>
      <c r="G26" s="46" t="s">
        <v>108</v>
      </c>
      <c r="H26" s="45" t="s">
        <v>130</v>
      </c>
      <c r="I26" s="45" t="s">
        <v>175</v>
      </c>
      <c r="J26" s="45" t="s">
        <v>147</v>
      </c>
      <c r="K26" s="60" t="s">
        <v>175</v>
      </c>
      <c r="L26" s="64">
        <v>1</v>
      </c>
      <c r="M26" s="45">
        <f t="shared" si="1"/>
        <v>20</v>
      </c>
      <c r="N26" s="45">
        <v>40</v>
      </c>
      <c r="O26" s="68" t="s">
        <v>190</v>
      </c>
      <c r="P26" s="50">
        <v>2.87E-2</v>
      </c>
      <c r="Q26" s="50">
        <f t="shared" si="2"/>
        <v>1.1479999999999999</v>
      </c>
      <c r="R26" s="46"/>
      <c r="S26" s="50"/>
    </row>
    <row r="27" spans="1:19" ht="24.75" thickBot="1" x14ac:dyDescent="0.3">
      <c r="A27" s="1"/>
      <c r="B27" s="37">
        <f t="shared" si="0"/>
        <v>18</v>
      </c>
      <c r="C27" s="67" t="s">
        <v>12</v>
      </c>
      <c r="D27" s="48" t="s">
        <v>34</v>
      </c>
      <c r="E27" s="49" t="s">
        <v>63</v>
      </c>
      <c r="F27" s="48" t="s">
        <v>86</v>
      </c>
      <c r="G27" s="70" t="s">
        <v>109</v>
      </c>
      <c r="H27" s="48" t="s">
        <v>131</v>
      </c>
      <c r="I27" s="48" t="s">
        <v>196</v>
      </c>
      <c r="J27" s="48" t="s">
        <v>197</v>
      </c>
      <c r="K27" s="61" t="s">
        <v>164</v>
      </c>
      <c r="L27" s="48">
        <v>3</v>
      </c>
      <c r="M27" s="48">
        <f t="shared" si="1"/>
        <v>60</v>
      </c>
      <c r="N27" s="48">
        <v>100</v>
      </c>
      <c r="O27" s="69" t="s">
        <v>190</v>
      </c>
      <c r="P27" s="51">
        <v>1E-3</v>
      </c>
      <c r="Q27" s="51">
        <f t="shared" si="2"/>
        <v>0.1</v>
      </c>
      <c r="R27" s="49"/>
      <c r="S27" s="51"/>
    </row>
    <row r="28" spans="1:19" ht="15.75" thickBot="1" x14ac:dyDescent="0.3">
      <c r="A28" s="1"/>
      <c r="B28" s="37">
        <f>ROW(B28) - ROW($B$9)</f>
        <v>19</v>
      </c>
      <c r="C28" s="66" t="s">
        <v>12</v>
      </c>
      <c r="D28" s="45" t="s">
        <v>35</v>
      </c>
      <c r="E28" s="46" t="s">
        <v>64</v>
      </c>
      <c r="F28" s="45" t="s">
        <v>87</v>
      </c>
      <c r="G28" s="46" t="s">
        <v>110</v>
      </c>
      <c r="H28" s="45" t="s">
        <v>122</v>
      </c>
      <c r="I28" s="45" t="s">
        <v>175</v>
      </c>
      <c r="J28" s="45" t="s">
        <v>148</v>
      </c>
      <c r="K28" s="60" t="s">
        <v>165</v>
      </c>
      <c r="L28" s="64">
        <v>2</v>
      </c>
      <c r="M28" s="45">
        <f t="shared" si="1"/>
        <v>40</v>
      </c>
      <c r="N28" s="45">
        <v>100</v>
      </c>
      <c r="O28" s="68" t="s">
        <v>190</v>
      </c>
      <c r="P28" s="50">
        <v>1.1000000000000001E-3</v>
      </c>
      <c r="Q28" s="50">
        <f t="shared" si="2"/>
        <v>0.11</v>
      </c>
      <c r="R28" s="46"/>
      <c r="S28" s="50"/>
    </row>
    <row r="29" spans="1:19" ht="36.75" thickBot="1" x14ac:dyDescent="0.3">
      <c r="A29" s="1"/>
      <c r="B29" s="37">
        <f t="shared" si="0"/>
        <v>20</v>
      </c>
      <c r="C29" s="67" t="s">
        <v>12</v>
      </c>
      <c r="D29" s="48" t="s">
        <v>36</v>
      </c>
      <c r="E29" s="49" t="s">
        <v>65</v>
      </c>
      <c r="F29" s="48" t="s">
        <v>88</v>
      </c>
      <c r="G29" s="49" t="s">
        <v>111</v>
      </c>
      <c r="H29" s="48" t="s">
        <v>132</v>
      </c>
      <c r="I29" s="48" t="s">
        <v>175</v>
      </c>
      <c r="J29" s="48" t="s">
        <v>149</v>
      </c>
      <c r="K29" s="61" t="s">
        <v>166</v>
      </c>
      <c r="L29" s="48">
        <v>4</v>
      </c>
      <c r="M29" s="48">
        <f t="shared" si="1"/>
        <v>80</v>
      </c>
      <c r="N29" s="48">
        <v>100</v>
      </c>
      <c r="O29" s="69" t="s">
        <v>190</v>
      </c>
      <c r="P29" s="51">
        <v>8.8000000000000005E-3</v>
      </c>
      <c r="Q29" s="51">
        <f t="shared" si="2"/>
        <v>0.88</v>
      </c>
      <c r="R29" s="49"/>
      <c r="S29" s="51"/>
    </row>
    <row r="30" spans="1:19" ht="15.75" thickBot="1" x14ac:dyDescent="0.3">
      <c r="A30" s="1"/>
      <c r="B30" s="37">
        <f>ROW(B30) - ROW($B$9)</f>
        <v>21</v>
      </c>
      <c r="C30" s="66" t="s">
        <v>12</v>
      </c>
      <c r="D30" s="45" t="s">
        <v>37</v>
      </c>
      <c r="E30" s="46" t="s">
        <v>66</v>
      </c>
      <c r="F30" s="45" t="s">
        <v>87</v>
      </c>
      <c r="G30" s="46" t="s">
        <v>112</v>
      </c>
      <c r="H30" s="45" t="s">
        <v>122</v>
      </c>
      <c r="I30" s="45"/>
      <c r="J30" s="45" t="s">
        <v>150</v>
      </c>
      <c r="K30" s="60" t="s">
        <v>167</v>
      </c>
      <c r="L30" s="64">
        <v>2</v>
      </c>
      <c r="M30" s="45">
        <f t="shared" si="1"/>
        <v>40</v>
      </c>
      <c r="N30" s="45">
        <v>100</v>
      </c>
      <c r="O30" s="68" t="s">
        <v>190</v>
      </c>
      <c r="P30" s="50">
        <v>8.9999999999999998E-4</v>
      </c>
      <c r="Q30" s="50">
        <f t="shared" si="2"/>
        <v>0.09</v>
      </c>
      <c r="R30" s="46"/>
      <c r="S30" s="50"/>
    </row>
    <row r="31" spans="1:19" ht="15.75" thickBot="1" x14ac:dyDescent="0.3">
      <c r="A31" s="1"/>
      <c r="B31" s="37">
        <f t="shared" si="0"/>
        <v>22</v>
      </c>
      <c r="C31" s="67" t="s">
        <v>12</v>
      </c>
      <c r="D31" s="48" t="s">
        <v>38</v>
      </c>
      <c r="E31" s="49" t="s">
        <v>67</v>
      </c>
      <c r="F31" s="48" t="s">
        <v>89</v>
      </c>
      <c r="G31" s="70" t="s">
        <v>113</v>
      </c>
      <c r="H31" s="48" t="s">
        <v>133</v>
      </c>
      <c r="I31" s="48" t="s">
        <v>205</v>
      </c>
      <c r="J31" s="48" t="s">
        <v>206</v>
      </c>
      <c r="K31" s="61" t="s">
        <v>168</v>
      </c>
      <c r="L31" s="48">
        <v>2</v>
      </c>
      <c r="M31" s="48">
        <f t="shared" si="1"/>
        <v>40</v>
      </c>
      <c r="N31" s="48">
        <v>100</v>
      </c>
      <c r="O31" s="69" t="s">
        <v>190</v>
      </c>
      <c r="P31" s="51">
        <v>4.0000000000000002E-4</v>
      </c>
      <c r="Q31" s="51">
        <f t="shared" si="2"/>
        <v>0.04</v>
      </c>
      <c r="R31" s="49"/>
      <c r="S31" s="51"/>
    </row>
    <row r="32" spans="1:19" ht="15.75" thickBot="1" x14ac:dyDescent="0.3">
      <c r="A32" s="1"/>
      <c r="B32" s="37">
        <f>ROW(B32) - ROW($B$9)</f>
        <v>23</v>
      </c>
      <c r="C32" s="66" t="s">
        <v>12</v>
      </c>
      <c r="D32" s="45" t="s">
        <v>39</v>
      </c>
      <c r="E32" s="46" t="s">
        <v>68</v>
      </c>
      <c r="F32" s="45" t="s">
        <v>87</v>
      </c>
      <c r="G32" s="46" t="s">
        <v>114</v>
      </c>
      <c r="H32" s="45" t="s">
        <v>122</v>
      </c>
      <c r="I32" s="45"/>
      <c r="J32" s="45" t="s">
        <v>151</v>
      </c>
      <c r="K32" s="60" t="s">
        <v>169</v>
      </c>
      <c r="L32" s="64">
        <v>1</v>
      </c>
      <c r="M32" s="45">
        <f t="shared" si="1"/>
        <v>20</v>
      </c>
      <c r="N32" s="45">
        <v>100</v>
      </c>
      <c r="O32" s="68" t="s">
        <v>190</v>
      </c>
      <c r="P32" s="50">
        <v>1.5E-3</v>
      </c>
      <c r="Q32" s="50">
        <f t="shared" si="2"/>
        <v>0.15</v>
      </c>
      <c r="R32" s="46"/>
      <c r="S32" s="50"/>
    </row>
    <row r="33" spans="1:19" ht="60.75" thickBot="1" x14ac:dyDescent="0.3">
      <c r="A33" s="1"/>
      <c r="B33" s="37">
        <f t="shared" si="0"/>
        <v>24</v>
      </c>
      <c r="C33" s="67" t="s">
        <v>13</v>
      </c>
      <c r="D33" s="48" t="s">
        <v>40</v>
      </c>
      <c r="E33" s="49" t="s">
        <v>69</v>
      </c>
      <c r="F33" s="48" t="s">
        <v>189</v>
      </c>
      <c r="G33" s="49" t="s">
        <v>90</v>
      </c>
      <c r="H33" s="48" t="s">
        <v>134</v>
      </c>
      <c r="I33" s="48" t="s">
        <v>175</v>
      </c>
      <c r="J33" s="48" t="s">
        <v>152</v>
      </c>
      <c r="K33" s="61" t="s">
        <v>175</v>
      </c>
      <c r="L33" s="48">
        <v>1</v>
      </c>
      <c r="M33" s="48">
        <f t="shared" si="1"/>
        <v>20</v>
      </c>
      <c r="N33" s="48">
        <v>40</v>
      </c>
      <c r="O33" s="69" t="s">
        <v>190</v>
      </c>
      <c r="P33" s="51">
        <v>1.7999999999999999E-2</v>
      </c>
      <c r="Q33" s="51">
        <f t="shared" si="2"/>
        <v>0.72</v>
      </c>
      <c r="R33" s="49"/>
      <c r="S33" s="51"/>
    </row>
    <row r="34" spans="1:19" ht="15.75" thickBot="1" x14ac:dyDescent="0.3">
      <c r="A34" s="1"/>
      <c r="B34" s="37">
        <f>ROW(B34) - ROW($B$9)</f>
        <v>25</v>
      </c>
      <c r="C34" s="66" t="s">
        <v>14</v>
      </c>
      <c r="D34" s="45" t="s">
        <v>41</v>
      </c>
      <c r="E34" s="46" t="s">
        <v>70</v>
      </c>
      <c r="F34" s="45" t="s">
        <v>91</v>
      </c>
      <c r="G34" s="46" t="s">
        <v>115</v>
      </c>
      <c r="H34" s="45" t="s">
        <v>135</v>
      </c>
      <c r="I34" s="45" t="s">
        <v>175</v>
      </c>
      <c r="J34" s="45" t="s">
        <v>153</v>
      </c>
      <c r="K34" s="60" t="s">
        <v>175</v>
      </c>
      <c r="L34" s="64">
        <v>1</v>
      </c>
      <c r="M34" s="45">
        <f t="shared" si="1"/>
        <v>20</v>
      </c>
      <c r="N34" s="45">
        <v>22</v>
      </c>
      <c r="O34" s="68" t="s">
        <v>190</v>
      </c>
      <c r="P34" s="50">
        <v>3.4045999999999998</v>
      </c>
      <c r="Q34" s="50">
        <f t="shared" si="2"/>
        <v>74.901200000000003</v>
      </c>
      <c r="R34" s="46"/>
      <c r="S34" s="50"/>
    </row>
    <row r="35" spans="1:19" ht="24.75" thickBot="1" x14ac:dyDescent="0.3">
      <c r="A35" s="1"/>
      <c r="B35" s="37">
        <f t="shared" si="0"/>
        <v>26</v>
      </c>
      <c r="C35" s="67" t="s">
        <v>15</v>
      </c>
      <c r="D35" s="48" t="s">
        <v>42</v>
      </c>
      <c r="E35" s="49" t="s">
        <v>71</v>
      </c>
      <c r="F35" s="48" t="s">
        <v>92</v>
      </c>
      <c r="G35" s="49" t="s">
        <v>116</v>
      </c>
      <c r="H35" s="48" t="s">
        <v>129</v>
      </c>
      <c r="I35" s="48" t="s">
        <v>175</v>
      </c>
      <c r="J35" s="48" t="s">
        <v>154</v>
      </c>
      <c r="K35" s="61" t="s">
        <v>175</v>
      </c>
      <c r="L35" s="48">
        <v>1</v>
      </c>
      <c r="M35" s="48">
        <f t="shared" si="1"/>
        <v>20</v>
      </c>
      <c r="N35" s="48">
        <v>25</v>
      </c>
      <c r="O35" s="69" t="s">
        <v>190</v>
      </c>
      <c r="P35" s="51">
        <v>0.29010000000000002</v>
      </c>
      <c r="Q35" s="51">
        <f t="shared" si="2"/>
        <v>7.2525000000000004</v>
      </c>
      <c r="R35" s="49"/>
      <c r="S35" s="51"/>
    </row>
    <row r="36" spans="1:19" ht="15.75" thickBot="1" x14ac:dyDescent="0.3">
      <c r="A36" s="1"/>
      <c r="B36" s="37">
        <f>ROW(B36) - ROW($B$9)</f>
        <v>27</v>
      </c>
      <c r="C36" s="66" t="s">
        <v>15</v>
      </c>
      <c r="D36" s="45" t="s">
        <v>43</v>
      </c>
      <c r="E36" s="46" t="s">
        <v>72</v>
      </c>
      <c r="F36" s="45" t="s">
        <v>93</v>
      </c>
      <c r="G36" s="46" t="s">
        <v>117</v>
      </c>
      <c r="H36" s="45" t="s">
        <v>129</v>
      </c>
      <c r="I36" s="45" t="s">
        <v>175</v>
      </c>
      <c r="J36" s="45" t="s">
        <v>155</v>
      </c>
      <c r="K36" s="60" t="s">
        <v>175</v>
      </c>
      <c r="L36" s="64">
        <v>1</v>
      </c>
      <c r="M36" s="45">
        <f t="shared" si="1"/>
        <v>20</v>
      </c>
      <c r="N36" s="45">
        <v>25</v>
      </c>
      <c r="O36" s="68" t="s">
        <v>190</v>
      </c>
      <c r="P36" s="50">
        <v>0.21179999999999999</v>
      </c>
      <c r="Q36" s="50">
        <f t="shared" si="2"/>
        <v>5.2949999999999999</v>
      </c>
      <c r="R36" s="46"/>
      <c r="S36" s="50"/>
    </row>
    <row r="37" spans="1:19" ht="48.75" thickBot="1" x14ac:dyDescent="0.3">
      <c r="A37" s="1"/>
      <c r="B37" s="37">
        <f t="shared" si="0"/>
        <v>28</v>
      </c>
      <c r="C37" s="67" t="s">
        <v>15</v>
      </c>
      <c r="D37" s="48" t="s">
        <v>44</v>
      </c>
      <c r="E37" s="49" t="s">
        <v>73</v>
      </c>
      <c r="F37" s="48" t="s">
        <v>94</v>
      </c>
      <c r="G37" s="49" t="s">
        <v>118</v>
      </c>
      <c r="H37" s="48" t="s">
        <v>136</v>
      </c>
      <c r="I37" s="48" t="s">
        <v>175</v>
      </c>
      <c r="J37" s="48" t="s">
        <v>156</v>
      </c>
      <c r="K37" s="61" t="s">
        <v>175</v>
      </c>
      <c r="L37" s="65">
        <v>1</v>
      </c>
      <c r="M37" s="48">
        <f t="shared" si="1"/>
        <v>20</v>
      </c>
      <c r="N37" s="48">
        <v>22</v>
      </c>
      <c r="O37" s="69" t="s">
        <v>190</v>
      </c>
      <c r="P37" s="51">
        <v>0.14180000000000001</v>
      </c>
      <c r="Q37" s="51">
        <f t="shared" si="2"/>
        <v>3.1196000000000002</v>
      </c>
      <c r="R37" s="49"/>
      <c r="S37" s="51"/>
    </row>
    <row r="38" spans="1:19" ht="19.5" thickBot="1" x14ac:dyDescent="0.3">
      <c r="A38" s="1"/>
      <c r="B38" s="32"/>
      <c r="C38" s="43"/>
      <c r="D38" s="33"/>
      <c r="E38" s="34"/>
      <c r="F38" s="35"/>
      <c r="G38" s="36"/>
      <c r="H38" s="35"/>
      <c r="I38" s="36"/>
      <c r="J38" s="35"/>
      <c r="K38" s="36"/>
      <c r="L38" s="63"/>
      <c r="M38" s="36"/>
      <c r="N38" s="99" t="s">
        <v>185</v>
      </c>
      <c r="O38" s="100"/>
      <c r="P38" s="100"/>
      <c r="Q38" s="57">
        <f>SUM(Q10:Q37)</f>
        <v>123.3263</v>
      </c>
      <c r="R38" s="95"/>
      <c r="S38" s="96"/>
    </row>
    <row r="39" spans="1:19" ht="19.5" thickBot="1" x14ac:dyDescent="0.3">
      <c r="A39" s="1"/>
      <c r="B39" s="25"/>
      <c r="C39" s="44"/>
      <c r="D39" s="9"/>
      <c r="E39" s="10"/>
      <c r="F39" s="10"/>
      <c r="G39" s="10"/>
      <c r="H39" s="10"/>
      <c r="I39" s="10"/>
      <c r="J39" s="10"/>
      <c r="K39" s="10"/>
      <c r="L39" s="10"/>
      <c r="M39" s="10"/>
      <c r="N39" s="99" t="s">
        <v>186</v>
      </c>
      <c r="O39" s="100"/>
      <c r="P39" s="100"/>
      <c r="Q39" s="58">
        <f>Q38/20</f>
        <v>6.166315</v>
      </c>
      <c r="R39" s="97"/>
      <c r="S39" s="98"/>
    </row>
  </sheetData>
  <mergeCells count="5">
    <mergeCell ref="K1:S1"/>
    <mergeCell ref="S3:S8"/>
    <mergeCell ref="R38:S39"/>
    <mergeCell ref="N38:P38"/>
    <mergeCell ref="N39:P39"/>
  </mergeCells>
  <hyperlinks>
    <hyperlink ref="O10" r:id="rId1" xr:uid="{AACDBB13-FD89-4F8C-9F42-25F29674921D}"/>
    <hyperlink ref="O12" r:id="rId2" xr:uid="{8910881A-E02D-4D77-9352-9C22F1EA28DA}"/>
    <hyperlink ref="O13" r:id="rId3" xr:uid="{3B7FAF0E-C6CB-4EAA-A621-BBBA8C4920B0}"/>
    <hyperlink ref="O14" r:id="rId4" xr:uid="{D2B74760-7B02-47AD-B250-3C5BB3825388}"/>
    <hyperlink ref="O16" r:id="rId5" xr:uid="{9A1847C9-8AA3-454A-8178-267554C4047D}"/>
    <hyperlink ref="O19" r:id="rId6" xr:uid="{9CE8277E-0263-4BF3-8645-B6E0E9708CA2}"/>
    <hyperlink ref="O20" r:id="rId7" xr:uid="{178D71CF-40D7-4DC5-9795-FCD323285994}"/>
    <hyperlink ref="O22" r:id="rId8" xr:uid="{2AE14983-4121-4075-AA20-710E6484F95A}"/>
    <hyperlink ref="O26" r:id="rId9" xr:uid="{40FCD2CB-2F52-4794-B790-0A06495EDAEE}"/>
    <hyperlink ref="O28" r:id="rId10" xr:uid="{DD75499F-103A-4973-8AF4-3949C6DCA701}"/>
    <hyperlink ref="O29" r:id="rId11" xr:uid="{504B0F06-F901-4B4A-81E5-A67FD5E85186}"/>
    <hyperlink ref="O30" r:id="rId12" xr:uid="{A94C92B7-D7BA-4835-99E1-FD0601ADA53F}"/>
    <hyperlink ref="O32" r:id="rId13" xr:uid="{E1A6BA6D-F21B-4C48-A35A-A78108A6C6A4}"/>
    <hyperlink ref="O33" r:id="rId14" xr:uid="{C5D047A5-4ABA-4ABD-A149-47D71A4F2B97}"/>
    <hyperlink ref="O34" r:id="rId15" xr:uid="{866DA471-B9D6-4C3D-9719-680D503260CC}"/>
    <hyperlink ref="O35" r:id="rId16" xr:uid="{C871D355-E6A1-43F6-9C34-E2561F2E23CE}"/>
    <hyperlink ref="O36" r:id="rId17" xr:uid="{765FAEE8-D833-45C8-A240-F4514C06A10E}"/>
    <hyperlink ref="O37" r:id="rId18" xr:uid="{75C2CEFB-E28A-46C5-831C-9F3EFF39A28E}"/>
    <hyperlink ref="O11" r:id="rId19" xr:uid="{73A50509-7619-4C9F-A0D8-44D618488429}"/>
    <hyperlink ref="O15" r:id="rId20" xr:uid="{B49DB492-949A-4288-ABFD-BF4941C9B13F}"/>
    <hyperlink ref="O18" r:id="rId21" xr:uid="{02F9AAAD-1AF8-4EC6-B82E-F37714D03D5E}"/>
    <hyperlink ref="O27" r:id="rId22" xr:uid="{AED81F5F-ECAC-44CF-BF63-6E134C41DDB2}"/>
    <hyperlink ref="O23" r:id="rId23" xr:uid="{49B5AE42-BD43-48BC-A0B4-B9B99B87E515}"/>
    <hyperlink ref="O31" r:id="rId24" xr:uid="{DE14CB80-F4C1-4626-A341-D41C7781A31D}"/>
    <hyperlink ref="O24" r:id="rId25" xr:uid="{65A058E1-B1EB-44DA-B3C5-01A08CE1155F}"/>
  </hyperlinks>
  <pageMargins left="0.7" right="0.7" top="0.75" bottom="0.75" header="0.3" footer="0.3"/>
  <pageSetup paperSize="9" orientation="portrait" r:id="rId26"/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864F-B9A4-4216-9C1B-410D26A50D3A}">
  <dimension ref="A1:S39"/>
  <sheetViews>
    <sheetView topLeftCell="I1" workbookViewId="0">
      <selection activeCell="O24" sqref="O24"/>
    </sheetView>
  </sheetViews>
  <sheetFormatPr defaultRowHeight="15" x14ac:dyDescent="0.25"/>
  <cols>
    <col min="2" max="2" width="3" bestFit="1" customWidth="1"/>
    <col min="3" max="3" width="14.7109375" customWidth="1"/>
    <col min="4" max="4" width="22.85546875" customWidth="1"/>
    <col min="5" max="5" width="28.140625" customWidth="1"/>
    <col min="6" max="6" width="10.570312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1.42578125" bestFit="1" customWidth="1"/>
    <col min="14" max="14" width="18.28515625" bestFit="1" customWidth="1"/>
    <col min="15" max="15" width="5.42578125" bestFit="1" customWidth="1"/>
    <col min="16" max="16" width="21.85546875" bestFit="1" customWidth="1"/>
    <col min="17" max="17" width="22.42578125" bestFit="1" customWidth="1"/>
    <col min="18" max="18" width="14" customWidth="1"/>
    <col min="19" max="19" width="25.8554687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91"/>
      <c r="L1" s="91"/>
      <c r="M1" s="91"/>
      <c r="N1" s="91"/>
      <c r="O1" s="91"/>
      <c r="P1" s="91"/>
      <c r="Q1" s="91"/>
      <c r="R1" s="91"/>
      <c r="S1" s="92"/>
    </row>
    <row r="2" spans="1:19" ht="32.25" thickBot="1" x14ac:dyDescent="0.3">
      <c r="A2" s="1"/>
      <c r="B2" s="21"/>
      <c r="C2" s="38"/>
      <c r="D2" s="11" t="s">
        <v>0</v>
      </c>
      <c r="E2" s="11"/>
      <c r="F2" s="53" t="s">
        <v>187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9"/>
      <c r="D3" s="13" t="s">
        <v>1</v>
      </c>
      <c r="E3" s="13"/>
      <c r="F3" s="54" t="s">
        <v>188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93"/>
    </row>
    <row r="4" spans="1:19" x14ac:dyDescent="0.25">
      <c r="A4" s="1"/>
      <c r="B4" s="22"/>
      <c r="C4" s="39"/>
      <c r="D4" s="13" t="s">
        <v>2</v>
      </c>
      <c r="E4" s="13"/>
      <c r="F4" s="55" t="s">
        <v>188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94"/>
    </row>
    <row r="5" spans="1:19" x14ac:dyDescent="0.25">
      <c r="A5" s="1"/>
      <c r="B5" s="22"/>
      <c r="C5" s="39"/>
      <c r="D5" s="13" t="s">
        <v>3</v>
      </c>
      <c r="E5" s="13"/>
      <c r="F5" s="56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94"/>
    </row>
    <row r="6" spans="1:19" x14ac:dyDescent="0.25">
      <c r="A6" s="1"/>
      <c r="B6" s="23"/>
      <c r="C6" s="40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94"/>
    </row>
    <row r="7" spans="1:19" x14ac:dyDescent="0.25">
      <c r="A7" s="1"/>
      <c r="B7" s="24"/>
      <c r="C7" s="41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94"/>
    </row>
    <row r="8" spans="1:19" ht="15.75" thickBot="1" x14ac:dyDescent="0.3">
      <c r="A8" s="1"/>
      <c r="B8" s="27"/>
      <c r="C8" s="42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94"/>
    </row>
    <row r="9" spans="1:19" ht="15.75" thickBot="1" x14ac:dyDescent="0.3">
      <c r="A9" s="1"/>
      <c r="B9" s="30" t="s">
        <v>4</v>
      </c>
      <c r="C9" s="30" t="s">
        <v>6</v>
      </c>
      <c r="D9" s="31" t="s">
        <v>16</v>
      </c>
      <c r="E9" s="30" t="s">
        <v>45</v>
      </c>
      <c r="F9" s="31" t="s">
        <v>74</v>
      </c>
      <c r="G9" s="30" t="s">
        <v>95</v>
      </c>
      <c r="H9" s="31" t="s">
        <v>119</v>
      </c>
      <c r="I9" s="30" t="s">
        <v>176</v>
      </c>
      <c r="J9" s="31" t="s">
        <v>137</v>
      </c>
      <c r="K9" s="59" t="s">
        <v>177</v>
      </c>
      <c r="L9" s="30" t="s">
        <v>170</v>
      </c>
      <c r="M9" s="62" t="s">
        <v>201</v>
      </c>
      <c r="N9" s="31" t="s">
        <v>202</v>
      </c>
      <c r="O9" s="30" t="s">
        <v>180</v>
      </c>
      <c r="P9" s="31" t="s">
        <v>203</v>
      </c>
      <c r="Q9" s="30" t="s">
        <v>204</v>
      </c>
      <c r="R9" s="31" t="s">
        <v>183</v>
      </c>
      <c r="S9" s="30" t="s">
        <v>184</v>
      </c>
    </row>
    <row r="10" spans="1:19" s="74" customFormat="1" ht="15.75" thickBot="1" x14ac:dyDescent="0.3">
      <c r="A10" s="72"/>
      <c r="B10" s="37">
        <f>ROW(B10) - ROW($B$9)</f>
        <v>1</v>
      </c>
      <c r="C10" s="66" t="s">
        <v>7</v>
      </c>
      <c r="D10" s="45" t="s">
        <v>17</v>
      </c>
      <c r="E10" s="46" t="s">
        <v>46</v>
      </c>
      <c r="F10" s="45" t="s">
        <v>75</v>
      </c>
      <c r="G10" s="46" t="s">
        <v>96</v>
      </c>
      <c r="H10" s="45" t="s">
        <v>120</v>
      </c>
      <c r="I10" s="45" t="s">
        <v>175</v>
      </c>
      <c r="J10" s="45" t="s">
        <v>138</v>
      </c>
      <c r="K10" s="60" t="s">
        <v>157</v>
      </c>
      <c r="L10" s="45">
        <v>2</v>
      </c>
      <c r="M10" s="47">
        <f>L10*1000</f>
        <v>2000</v>
      </c>
      <c r="N10" s="45">
        <v>1060</v>
      </c>
      <c r="O10" s="68" t="s">
        <v>190</v>
      </c>
      <c r="P10" s="50">
        <v>1.5599999999999999E-2</v>
      </c>
      <c r="Q10" s="50">
        <f>P10*N10</f>
        <v>16.535999999999998</v>
      </c>
      <c r="R10" s="46"/>
      <c r="S10" s="73"/>
    </row>
    <row r="11" spans="1:19" s="74" customFormat="1" ht="15.75" thickBot="1" x14ac:dyDescent="0.3">
      <c r="A11" s="72"/>
      <c r="B11" s="37">
        <f t="shared" ref="B11:B37" si="0">ROW(B11) - ROW($B$9)</f>
        <v>2</v>
      </c>
      <c r="C11" s="67" t="s">
        <v>7</v>
      </c>
      <c r="D11" s="48" t="s">
        <v>18</v>
      </c>
      <c r="E11" s="49" t="s">
        <v>47</v>
      </c>
      <c r="F11" s="48" t="s">
        <v>76</v>
      </c>
      <c r="G11" s="70" t="s">
        <v>97</v>
      </c>
      <c r="H11" s="48" t="s">
        <v>121</v>
      </c>
      <c r="I11" s="48" t="s">
        <v>191</v>
      </c>
      <c r="J11" s="48" t="s">
        <v>192</v>
      </c>
      <c r="K11" s="61" t="s">
        <v>158</v>
      </c>
      <c r="L11" s="48">
        <v>2</v>
      </c>
      <c r="M11" s="48">
        <f t="shared" ref="M11:M37" si="1">L11*1000</f>
        <v>2000</v>
      </c>
      <c r="N11" s="48">
        <v>2100</v>
      </c>
      <c r="O11" s="69" t="s">
        <v>190</v>
      </c>
      <c r="P11" s="51">
        <v>1.5E-3</v>
      </c>
      <c r="Q11" s="51">
        <f t="shared" ref="Q11:Q37" si="2">P11*N11</f>
        <v>3.15</v>
      </c>
      <c r="R11" s="49"/>
      <c r="S11" s="51"/>
    </row>
    <row r="12" spans="1:19" s="74" customFormat="1" ht="15.75" thickBot="1" x14ac:dyDescent="0.3">
      <c r="A12" s="72"/>
      <c r="B12" s="37">
        <f>ROW(B12) - ROW($B$9)</f>
        <v>3</v>
      </c>
      <c r="C12" s="66" t="s">
        <v>7</v>
      </c>
      <c r="D12" s="45" t="s">
        <v>19</v>
      </c>
      <c r="E12" s="46" t="s">
        <v>48</v>
      </c>
      <c r="F12" s="45" t="s">
        <v>77</v>
      </c>
      <c r="G12" s="46" t="s">
        <v>98</v>
      </c>
      <c r="H12" s="45" t="s">
        <v>122</v>
      </c>
      <c r="I12" s="45"/>
      <c r="J12" s="45" t="s">
        <v>139</v>
      </c>
      <c r="K12" s="60" t="s">
        <v>159</v>
      </c>
      <c r="L12" s="64">
        <v>1</v>
      </c>
      <c r="M12" s="45">
        <f t="shared" si="1"/>
        <v>1000</v>
      </c>
      <c r="N12" s="45">
        <v>1100</v>
      </c>
      <c r="O12" s="68" t="s">
        <v>190</v>
      </c>
      <c r="P12" s="50">
        <v>3.5999999999999999E-3</v>
      </c>
      <c r="Q12" s="50">
        <f t="shared" si="2"/>
        <v>3.96</v>
      </c>
      <c r="R12" s="46"/>
      <c r="S12" s="50"/>
    </row>
    <row r="13" spans="1:19" s="74" customFormat="1" ht="36.75" thickBot="1" x14ac:dyDescent="0.3">
      <c r="A13" s="72"/>
      <c r="B13" s="37">
        <f t="shared" si="0"/>
        <v>4</v>
      </c>
      <c r="C13" s="67" t="s">
        <v>7</v>
      </c>
      <c r="D13" s="48" t="s">
        <v>20</v>
      </c>
      <c r="E13" s="49" t="s">
        <v>49</v>
      </c>
      <c r="F13" s="48" t="s">
        <v>189</v>
      </c>
      <c r="G13" s="49" t="s">
        <v>78</v>
      </c>
      <c r="H13" s="48" t="s">
        <v>123</v>
      </c>
      <c r="I13" s="48" t="s">
        <v>175</v>
      </c>
      <c r="J13" s="48" t="s">
        <v>140</v>
      </c>
      <c r="K13" s="61" t="s">
        <v>160</v>
      </c>
      <c r="L13" s="48">
        <v>2</v>
      </c>
      <c r="M13" s="48">
        <f t="shared" si="1"/>
        <v>2000</v>
      </c>
      <c r="N13" s="48">
        <v>2060</v>
      </c>
      <c r="O13" s="69" t="s">
        <v>190</v>
      </c>
      <c r="P13" s="51">
        <v>2.1000000000000001E-2</v>
      </c>
      <c r="Q13" s="51">
        <f t="shared" si="2"/>
        <v>43.260000000000005</v>
      </c>
      <c r="R13" s="49"/>
      <c r="S13" s="51"/>
    </row>
    <row r="14" spans="1:19" s="74" customFormat="1" ht="15.75" thickBot="1" x14ac:dyDescent="0.3">
      <c r="A14" s="72"/>
      <c r="B14" s="37">
        <f>ROW(B14) - ROW($B$9)</f>
        <v>5</v>
      </c>
      <c r="C14" s="66" t="s">
        <v>7</v>
      </c>
      <c r="D14" s="45" t="s">
        <v>21</v>
      </c>
      <c r="E14" s="46" t="s">
        <v>50</v>
      </c>
      <c r="F14" s="45" t="s">
        <v>77</v>
      </c>
      <c r="G14" s="46" t="s">
        <v>99</v>
      </c>
      <c r="H14" s="45" t="s">
        <v>120</v>
      </c>
      <c r="I14" s="45" t="s">
        <v>175</v>
      </c>
      <c r="J14" s="45" t="s">
        <v>141</v>
      </c>
      <c r="K14" s="60" t="s">
        <v>161</v>
      </c>
      <c r="L14" s="64">
        <v>1</v>
      </c>
      <c r="M14" s="45">
        <f t="shared" si="1"/>
        <v>1000</v>
      </c>
      <c r="N14" s="45">
        <v>1060</v>
      </c>
      <c r="O14" s="68" t="s">
        <v>190</v>
      </c>
      <c r="P14" s="50">
        <v>1.2E-2</v>
      </c>
      <c r="Q14" s="50">
        <f t="shared" si="2"/>
        <v>12.72</v>
      </c>
      <c r="R14" s="46"/>
      <c r="S14" s="50"/>
    </row>
    <row r="15" spans="1:19" s="74" customFormat="1" ht="15.75" thickBot="1" x14ac:dyDescent="0.3">
      <c r="A15" s="72"/>
      <c r="B15" s="37">
        <f t="shared" si="0"/>
        <v>6</v>
      </c>
      <c r="C15" s="67" t="s">
        <v>7</v>
      </c>
      <c r="D15" s="48" t="s">
        <v>22</v>
      </c>
      <c r="E15" s="49" t="s">
        <v>51</v>
      </c>
      <c r="F15" s="48" t="s">
        <v>77</v>
      </c>
      <c r="G15" s="70" t="s">
        <v>100</v>
      </c>
      <c r="H15" s="48" t="s">
        <v>121</v>
      </c>
      <c r="I15" s="48" t="s">
        <v>193</v>
      </c>
      <c r="J15" s="48" t="s">
        <v>194</v>
      </c>
      <c r="K15" s="61" t="s">
        <v>162</v>
      </c>
      <c r="L15" s="48">
        <v>1</v>
      </c>
      <c r="M15" s="48">
        <f t="shared" si="1"/>
        <v>1000</v>
      </c>
      <c r="N15" s="48">
        <v>1060</v>
      </c>
      <c r="O15" s="69" t="s">
        <v>190</v>
      </c>
      <c r="P15" s="51">
        <v>1.5800000000000002E-2</v>
      </c>
      <c r="Q15" s="51">
        <f t="shared" si="2"/>
        <v>16.748000000000001</v>
      </c>
      <c r="R15" s="49"/>
      <c r="S15" s="51"/>
    </row>
    <row r="16" spans="1:19" s="74" customFormat="1" ht="24.75" thickBot="1" x14ac:dyDescent="0.3">
      <c r="A16" s="72"/>
      <c r="B16" s="37">
        <f>ROW(B16) - ROW($B$9)</f>
        <v>7</v>
      </c>
      <c r="C16" s="66" t="s">
        <v>7</v>
      </c>
      <c r="D16" s="45" t="s">
        <v>23</v>
      </c>
      <c r="E16" s="46" t="s">
        <v>52</v>
      </c>
      <c r="F16" s="45" t="s">
        <v>79</v>
      </c>
      <c r="G16" s="46" t="s">
        <v>101</v>
      </c>
      <c r="H16" s="45" t="s">
        <v>122</v>
      </c>
      <c r="I16" s="45"/>
      <c r="J16" s="45" t="s">
        <v>142</v>
      </c>
      <c r="K16" s="60" t="s">
        <v>163</v>
      </c>
      <c r="L16" s="64">
        <v>1</v>
      </c>
      <c r="M16" s="45">
        <f t="shared" si="1"/>
        <v>1000</v>
      </c>
      <c r="N16" s="45">
        <v>1050</v>
      </c>
      <c r="O16" s="68" t="s">
        <v>190</v>
      </c>
      <c r="P16" s="50">
        <v>1.2E-2</v>
      </c>
      <c r="Q16" s="50">
        <f t="shared" si="2"/>
        <v>12.6</v>
      </c>
      <c r="R16" s="46"/>
      <c r="S16" s="50"/>
    </row>
    <row r="17" spans="1:19" s="74" customFormat="1" ht="15.75" thickBot="1" x14ac:dyDescent="0.3">
      <c r="A17" s="72"/>
      <c r="B17" s="37">
        <f t="shared" si="0"/>
        <v>8</v>
      </c>
      <c r="C17" s="67" t="s">
        <v>7</v>
      </c>
      <c r="D17" s="48" t="s">
        <v>24</v>
      </c>
      <c r="E17" s="49" t="s">
        <v>53</v>
      </c>
      <c r="F17" s="48" t="s">
        <v>76</v>
      </c>
      <c r="G17" s="49" t="s">
        <v>175</v>
      </c>
      <c r="H17" s="48" t="s">
        <v>175</v>
      </c>
      <c r="I17" s="48" t="s">
        <v>175</v>
      </c>
      <c r="J17" s="48" t="s">
        <v>175</v>
      </c>
      <c r="K17" s="61" t="s">
        <v>175</v>
      </c>
      <c r="L17" s="48">
        <v>2</v>
      </c>
      <c r="M17" s="48">
        <f t="shared" si="1"/>
        <v>2000</v>
      </c>
      <c r="N17" s="48"/>
      <c r="O17" s="48" t="s">
        <v>175</v>
      </c>
      <c r="P17" s="51"/>
      <c r="Q17" s="51" t="s">
        <v>175</v>
      </c>
      <c r="R17" s="71" t="s">
        <v>198</v>
      </c>
      <c r="S17" s="51"/>
    </row>
    <row r="18" spans="1:19" s="74" customFormat="1" ht="24.75" thickBot="1" x14ac:dyDescent="0.3">
      <c r="A18" s="72"/>
      <c r="B18" s="37">
        <f>ROW(B18) - ROW($B$9)</f>
        <v>9</v>
      </c>
      <c r="C18" s="66" t="s">
        <v>171</v>
      </c>
      <c r="D18" s="45" t="s">
        <v>25</v>
      </c>
      <c r="E18" s="46" t="s">
        <v>54</v>
      </c>
      <c r="F18" s="45" t="s">
        <v>80</v>
      </c>
      <c r="G18" s="46" t="s">
        <v>102</v>
      </c>
      <c r="H18" s="45" t="s">
        <v>124</v>
      </c>
      <c r="I18" s="45" t="s">
        <v>175</v>
      </c>
      <c r="J18" s="45" t="s">
        <v>195</v>
      </c>
      <c r="K18" s="60" t="s">
        <v>175</v>
      </c>
      <c r="L18" s="64">
        <v>1</v>
      </c>
      <c r="M18" s="45">
        <f t="shared" si="1"/>
        <v>1000</v>
      </c>
      <c r="N18" s="45">
        <v>1050</v>
      </c>
      <c r="O18" s="68" t="s">
        <v>190</v>
      </c>
      <c r="P18" s="50">
        <v>0.1196</v>
      </c>
      <c r="Q18" s="50">
        <f t="shared" si="2"/>
        <v>125.58</v>
      </c>
      <c r="R18" s="46"/>
      <c r="S18" s="50"/>
    </row>
    <row r="19" spans="1:19" s="74" customFormat="1" ht="36.75" thickBot="1" x14ac:dyDescent="0.3">
      <c r="A19" s="72"/>
      <c r="B19" s="37">
        <f t="shared" si="0"/>
        <v>10</v>
      </c>
      <c r="C19" s="67" t="s">
        <v>8</v>
      </c>
      <c r="D19" s="48" t="s">
        <v>26</v>
      </c>
      <c r="E19" s="49" t="s">
        <v>55</v>
      </c>
      <c r="F19" s="48" t="s">
        <v>81</v>
      </c>
      <c r="G19" s="49" t="s">
        <v>103</v>
      </c>
      <c r="H19" s="48" t="s">
        <v>125</v>
      </c>
      <c r="I19" s="48" t="s">
        <v>175</v>
      </c>
      <c r="J19" s="48" t="s">
        <v>143</v>
      </c>
      <c r="K19" s="61" t="s">
        <v>175</v>
      </c>
      <c r="L19" s="48">
        <v>1</v>
      </c>
      <c r="M19" s="48">
        <f t="shared" si="1"/>
        <v>1000</v>
      </c>
      <c r="N19" s="48">
        <v>1050</v>
      </c>
      <c r="O19" s="69" t="s">
        <v>190</v>
      </c>
      <c r="P19" s="51">
        <v>4.7100000000000003E-2</v>
      </c>
      <c r="Q19" s="51">
        <f t="shared" si="2"/>
        <v>49.455000000000005</v>
      </c>
      <c r="R19" s="49"/>
      <c r="S19" s="51"/>
    </row>
    <row r="20" spans="1:19" s="74" customFormat="1" ht="24.75" thickBot="1" x14ac:dyDescent="0.3">
      <c r="A20" s="72"/>
      <c r="B20" s="37">
        <f>ROW(B20) - ROW($B$9)</f>
        <v>11</v>
      </c>
      <c r="C20" s="66" t="s">
        <v>172</v>
      </c>
      <c r="D20" s="45" t="s">
        <v>27</v>
      </c>
      <c r="E20" s="46" t="s">
        <v>56</v>
      </c>
      <c r="F20" s="45" t="s">
        <v>189</v>
      </c>
      <c r="G20" s="46" t="s">
        <v>104</v>
      </c>
      <c r="H20" s="45" t="s">
        <v>126</v>
      </c>
      <c r="I20" s="45" t="s">
        <v>175</v>
      </c>
      <c r="J20" s="45" t="s">
        <v>144</v>
      </c>
      <c r="K20" s="60" t="s">
        <v>175</v>
      </c>
      <c r="L20" s="64">
        <v>1</v>
      </c>
      <c r="M20" s="45">
        <f t="shared" si="1"/>
        <v>1000</v>
      </c>
      <c r="N20" s="45">
        <v>1050</v>
      </c>
      <c r="O20" s="68" t="s">
        <v>190</v>
      </c>
      <c r="P20" s="50">
        <v>0.1074</v>
      </c>
      <c r="Q20" s="50">
        <f t="shared" si="2"/>
        <v>112.77</v>
      </c>
      <c r="R20" s="46"/>
      <c r="S20" s="50"/>
    </row>
    <row r="21" spans="1:19" s="74" customFormat="1" ht="15.75" thickBot="1" x14ac:dyDescent="0.3">
      <c r="A21" s="72"/>
      <c r="B21" s="37">
        <f t="shared" si="0"/>
        <v>12</v>
      </c>
      <c r="C21" s="67" t="s">
        <v>173</v>
      </c>
      <c r="D21" s="48" t="s">
        <v>28</v>
      </c>
      <c r="E21" s="49" t="s">
        <v>57</v>
      </c>
      <c r="F21" s="48" t="s">
        <v>189</v>
      </c>
      <c r="G21" s="48" t="s">
        <v>82</v>
      </c>
      <c r="H21" s="48" t="s">
        <v>175</v>
      </c>
      <c r="I21" s="48" t="s">
        <v>175</v>
      </c>
      <c r="J21" s="48" t="s">
        <v>175</v>
      </c>
      <c r="K21" s="61" t="s">
        <v>175</v>
      </c>
      <c r="L21" s="48">
        <v>1</v>
      </c>
      <c r="M21" s="48">
        <f t="shared" si="1"/>
        <v>1000</v>
      </c>
      <c r="N21" s="48" t="s">
        <v>175</v>
      </c>
      <c r="O21" s="48" t="s">
        <v>175</v>
      </c>
      <c r="P21" s="51" t="s">
        <v>175</v>
      </c>
      <c r="Q21" s="51" t="s">
        <v>175</v>
      </c>
      <c r="R21" s="71" t="s">
        <v>198</v>
      </c>
      <c r="S21" s="51"/>
    </row>
    <row r="22" spans="1:19" s="74" customFormat="1" ht="36.75" thickBot="1" x14ac:dyDescent="0.3">
      <c r="A22" s="72"/>
      <c r="B22" s="37">
        <f>ROW(B22) - ROW($B$9)</f>
        <v>13</v>
      </c>
      <c r="C22" s="66" t="s">
        <v>9</v>
      </c>
      <c r="D22" s="45" t="s">
        <v>29</v>
      </c>
      <c r="E22" s="46" t="s">
        <v>58</v>
      </c>
      <c r="F22" s="45" t="s">
        <v>83</v>
      </c>
      <c r="G22" s="46" t="s">
        <v>105</v>
      </c>
      <c r="H22" s="45" t="s">
        <v>127</v>
      </c>
      <c r="I22" s="45" t="s">
        <v>175</v>
      </c>
      <c r="J22" s="45" t="s">
        <v>145</v>
      </c>
      <c r="K22" s="60" t="s">
        <v>175</v>
      </c>
      <c r="L22" s="64">
        <v>1</v>
      </c>
      <c r="M22" s="45">
        <f t="shared" si="1"/>
        <v>1000</v>
      </c>
      <c r="N22" s="45">
        <v>1050</v>
      </c>
      <c r="O22" s="68" t="s">
        <v>190</v>
      </c>
      <c r="P22" s="50">
        <v>4.8800000000000003E-2</v>
      </c>
      <c r="Q22" s="50">
        <f t="shared" si="2"/>
        <v>51.24</v>
      </c>
      <c r="R22" s="46"/>
      <c r="S22" s="50"/>
    </row>
    <row r="23" spans="1:19" s="74" customFormat="1" ht="15.75" thickBot="1" x14ac:dyDescent="0.3">
      <c r="A23" s="72"/>
      <c r="B23" s="37">
        <f t="shared" si="0"/>
        <v>14</v>
      </c>
      <c r="C23" s="67" t="s">
        <v>9</v>
      </c>
      <c r="D23" s="48" t="s">
        <v>30</v>
      </c>
      <c r="E23" s="49" t="s">
        <v>59</v>
      </c>
      <c r="F23" s="48" t="s">
        <v>83</v>
      </c>
      <c r="G23" s="70" t="s">
        <v>106</v>
      </c>
      <c r="H23" s="48" t="s">
        <v>128</v>
      </c>
      <c r="I23" s="48" t="s">
        <v>199</v>
      </c>
      <c r="J23" s="48" t="s">
        <v>200</v>
      </c>
      <c r="K23" s="61" t="s">
        <v>175</v>
      </c>
      <c r="L23" s="48">
        <v>1</v>
      </c>
      <c r="M23" s="48">
        <f t="shared" si="1"/>
        <v>1000</v>
      </c>
      <c r="N23" s="48">
        <v>1100</v>
      </c>
      <c r="O23" s="69" t="s">
        <v>190</v>
      </c>
      <c r="P23" s="51">
        <v>4.7000000000000002E-3</v>
      </c>
      <c r="Q23" s="51">
        <f t="shared" si="2"/>
        <v>5.17</v>
      </c>
      <c r="R23" s="49"/>
      <c r="S23" s="51"/>
    </row>
    <row r="24" spans="1:19" s="74" customFormat="1" ht="24.75" thickBot="1" x14ac:dyDescent="0.3">
      <c r="A24" s="72"/>
      <c r="B24" s="37">
        <f>ROW(B24) - ROW($B$9)</f>
        <v>15</v>
      </c>
      <c r="C24" s="66" t="s">
        <v>10</v>
      </c>
      <c r="D24" s="45" t="s">
        <v>31</v>
      </c>
      <c r="E24" s="46" t="s">
        <v>60</v>
      </c>
      <c r="F24" s="45" t="s">
        <v>84</v>
      </c>
      <c r="G24" s="46" t="s">
        <v>107</v>
      </c>
      <c r="H24" s="45" t="s">
        <v>129</v>
      </c>
      <c r="I24" s="45" t="s">
        <v>175</v>
      </c>
      <c r="J24" s="45" t="s">
        <v>146</v>
      </c>
      <c r="K24" s="60" t="s">
        <v>175</v>
      </c>
      <c r="L24" s="64">
        <v>8</v>
      </c>
      <c r="M24" s="45">
        <f t="shared" si="1"/>
        <v>8000</v>
      </c>
      <c r="N24" s="45">
        <v>1050</v>
      </c>
      <c r="O24" s="68" t="s">
        <v>190</v>
      </c>
      <c r="P24" s="50">
        <v>3.8699999999999998E-2</v>
      </c>
      <c r="Q24" s="50">
        <f t="shared" si="2"/>
        <v>40.634999999999998</v>
      </c>
      <c r="R24" s="46"/>
      <c r="S24" s="50"/>
    </row>
    <row r="25" spans="1:19" s="74" customFormat="1" ht="15.75" thickBot="1" x14ac:dyDescent="0.3">
      <c r="A25" s="72"/>
      <c r="B25" s="37">
        <f t="shared" si="0"/>
        <v>16</v>
      </c>
      <c r="C25" s="67" t="s">
        <v>174</v>
      </c>
      <c r="D25" s="48" t="s">
        <v>32</v>
      </c>
      <c r="E25" s="49" t="s">
        <v>61</v>
      </c>
      <c r="F25" s="48" t="s">
        <v>189</v>
      </c>
      <c r="G25" s="49" t="s">
        <v>175</v>
      </c>
      <c r="H25" s="48" t="s">
        <v>175</v>
      </c>
      <c r="I25" s="48" t="s">
        <v>175</v>
      </c>
      <c r="J25" s="48" t="s">
        <v>175</v>
      </c>
      <c r="K25" s="61" t="s">
        <v>175</v>
      </c>
      <c r="L25" s="48">
        <v>3</v>
      </c>
      <c r="M25" s="48">
        <f t="shared" si="1"/>
        <v>3000</v>
      </c>
      <c r="N25" s="48"/>
      <c r="O25" s="48" t="s">
        <v>175</v>
      </c>
      <c r="P25" s="51"/>
      <c r="Q25" s="51" t="s">
        <v>175</v>
      </c>
      <c r="R25" s="71" t="s">
        <v>198</v>
      </c>
      <c r="S25" s="51"/>
    </row>
    <row r="26" spans="1:19" s="74" customFormat="1" ht="60.75" thickBot="1" x14ac:dyDescent="0.3">
      <c r="A26" s="72"/>
      <c r="B26" s="37">
        <f>ROW(B26) - ROW($B$9)</f>
        <v>17</v>
      </c>
      <c r="C26" s="66" t="s">
        <v>11</v>
      </c>
      <c r="D26" s="45" t="s">
        <v>33</v>
      </c>
      <c r="E26" s="46" t="s">
        <v>62</v>
      </c>
      <c r="F26" s="45" t="s">
        <v>85</v>
      </c>
      <c r="G26" s="46" t="s">
        <v>108</v>
      </c>
      <c r="H26" s="45" t="s">
        <v>130</v>
      </c>
      <c r="I26" s="45" t="s">
        <v>175</v>
      </c>
      <c r="J26" s="45" t="s">
        <v>147</v>
      </c>
      <c r="K26" s="60" t="s">
        <v>175</v>
      </c>
      <c r="L26" s="64">
        <v>1</v>
      </c>
      <c r="M26" s="45">
        <f t="shared" si="1"/>
        <v>1000</v>
      </c>
      <c r="N26" s="45">
        <v>1040</v>
      </c>
      <c r="O26" s="68" t="s">
        <v>190</v>
      </c>
      <c r="P26" s="50">
        <v>1.9900000000000001E-2</v>
      </c>
      <c r="Q26" s="50">
        <f t="shared" si="2"/>
        <v>20.696000000000002</v>
      </c>
      <c r="R26" s="46"/>
      <c r="S26" s="50"/>
    </row>
    <row r="27" spans="1:19" s="74" customFormat="1" ht="24.75" thickBot="1" x14ac:dyDescent="0.3">
      <c r="A27" s="72"/>
      <c r="B27" s="37">
        <f t="shared" si="0"/>
        <v>18</v>
      </c>
      <c r="C27" s="67" t="s">
        <v>12</v>
      </c>
      <c r="D27" s="48" t="s">
        <v>34</v>
      </c>
      <c r="E27" s="49" t="s">
        <v>63</v>
      </c>
      <c r="F27" s="48" t="s">
        <v>86</v>
      </c>
      <c r="G27" s="70" t="s">
        <v>109</v>
      </c>
      <c r="H27" s="48" t="s">
        <v>131</v>
      </c>
      <c r="I27" s="48" t="s">
        <v>196</v>
      </c>
      <c r="J27" s="48" t="s">
        <v>197</v>
      </c>
      <c r="K27" s="61" t="s">
        <v>164</v>
      </c>
      <c r="L27" s="48">
        <v>3</v>
      </c>
      <c r="M27" s="48">
        <f t="shared" si="1"/>
        <v>3000</v>
      </c>
      <c r="N27" s="48">
        <v>3100</v>
      </c>
      <c r="O27" s="69" t="s">
        <v>190</v>
      </c>
      <c r="P27" s="51">
        <v>8.0000000000000004E-4</v>
      </c>
      <c r="Q27" s="51">
        <f t="shared" si="2"/>
        <v>2.48</v>
      </c>
      <c r="R27" s="49"/>
      <c r="S27" s="51"/>
    </row>
    <row r="28" spans="1:19" s="74" customFormat="1" ht="24.75" thickBot="1" x14ac:dyDescent="0.3">
      <c r="A28" s="72"/>
      <c r="B28" s="37">
        <f>ROW(B28) - ROW($B$9)</f>
        <v>19</v>
      </c>
      <c r="C28" s="66" t="s">
        <v>12</v>
      </c>
      <c r="D28" s="45" t="s">
        <v>35</v>
      </c>
      <c r="E28" s="46" t="s">
        <v>64</v>
      </c>
      <c r="F28" s="45" t="s">
        <v>87</v>
      </c>
      <c r="G28" s="46" t="s">
        <v>110</v>
      </c>
      <c r="H28" s="45" t="s">
        <v>122</v>
      </c>
      <c r="I28" s="45" t="s">
        <v>175</v>
      </c>
      <c r="J28" s="45" t="s">
        <v>148</v>
      </c>
      <c r="K28" s="60" t="s">
        <v>165</v>
      </c>
      <c r="L28" s="64">
        <v>2</v>
      </c>
      <c r="M28" s="45">
        <f t="shared" si="1"/>
        <v>2000</v>
      </c>
      <c r="N28" s="45">
        <v>2100</v>
      </c>
      <c r="O28" s="68" t="s">
        <v>190</v>
      </c>
      <c r="P28" s="50">
        <v>8.0000000000000004E-4</v>
      </c>
      <c r="Q28" s="50">
        <f t="shared" si="2"/>
        <v>1.6800000000000002</v>
      </c>
      <c r="R28" s="46"/>
      <c r="S28" s="50"/>
    </row>
    <row r="29" spans="1:19" s="74" customFormat="1" ht="36.75" thickBot="1" x14ac:dyDescent="0.3">
      <c r="A29" s="72"/>
      <c r="B29" s="37">
        <f t="shared" si="0"/>
        <v>20</v>
      </c>
      <c r="C29" s="67" t="s">
        <v>12</v>
      </c>
      <c r="D29" s="48" t="s">
        <v>36</v>
      </c>
      <c r="E29" s="49" t="s">
        <v>65</v>
      </c>
      <c r="F29" s="48" t="s">
        <v>88</v>
      </c>
      <c r="G29" s="49" t="s">
        <v>111</v>
      </c>
      <c r="H29" s="48" t="s">
        <v>132</v>
      </c>
      <c r="I29" s="48" t="s">
        <v>175</v>
      </c>
      <c r="J29" s="48" t="s">
        <v>149</v>
      </c>
      <c r="K29" s="61" t="s">
        <v>166</v>
      </c>
      <c r="L29" s="48">
        <v>4</v>
      </c>
      <c r="M29" s="48">
        <f t="shared" si="1"/>
        <v>4000</v>
      </c>
      <c r="N29" s="48">
        <v>4050</v>
      </c>
      <c r="O29" s="69" t="s">
        <v>190</v>
      </c>
      <c r="P29" s="51">
        <v>6.1000000000000004E-3</v>
      </c>
      <c r="Q29" s="51">
        <f t="shared" si="2"/>
        <v>24.705000000000002</v>
      </c>
      <c r="R29" s="49"/>
      <c r="S29" s="51"/>
    </row>
    <row r="30" spans="1:19" s="74" customFormat="1" ht="24.75" thickBot="1" x14ac:dyDescent="0.3">
      <c r="A30" s="72"/>
      <c r="B30" s="37">
        <f>ROW(B30) - ROW($B$9)</f>
        <v>21</v>
      </c>
      <c r="C30" s="66" t="s">
        <v>12</v>
      </c>
      <c r="D30" s="45" t="s">
        <v>37</v>
      </c>
      <c r="E30" s="46" t="s">
        <v>66</v>
      </c>
      <c r="F30" s="45" t="s">
        <v>87</v>
      </c>
      <c r="G30" s="46" t="s">
        <v>112</v>
      </c>
      <c r="H30" s="45" t="s">
        <v>122</v>
      </c>
      <c r="I30" s="45" t="s">
        <v>175</v>
      </c>
      <c r="J30" s="45" t="s">
        <v>150</v>
      </c>
      <c r="K30" s="60" t="s">
        <v>167</v>
      </c>
      <c r="L30" s="64">
        <v>2</v>
      </c>
      <c r="M30" s="45">
        <f t="shared" si="1"/>
        <v>2000</v>
      </c>
      <c r="N30" s="45">
        <v>2100</v>
      </c>
      <c r="O30" s="68" t="s">
        <v>190</v>
      </c>
      <c r="P30" s="50">
        <v>6.9999999999999999E-4</v>
      </c>
      <c r="Q30" s="50">
        <f t="shared" si="2"/>
        <v>1.47</v>
      </c>
      <c r="R30" s="46"/>
      <c r="S30" s="50"/>
    </row>
    <row r="31" spans="1:19" s="74" customFormat="1" ht="15.75" thickBot="1" x14ac:dyDescent="0.3">
      <c r="A31" s="72"/>
      <c r="B31" s="37">
        <f t="shared" si="0"/>
        <v>22</v>
      </c>
      <c r="C31" s="67" t="s">
        <v>12</v>
      </c>
      <c r="D31" s="48" t="s">
        <v>38</v>
      </c>
      <c r="E31" s="49" t="s">
        <v>67</v>
      </c>
      <c r="F31" s="48" t="s">
        <v>89</v>
      </c>
      <c r="G31" s="70" t="s">
        <v>113</v>
      </c>
      <c r="H31" s="48" t="s">
        <v>133</v>
      </c>
      <c r="I31" s="48" t="s">
        <v>205</v>
      </c>
      <c r="J31" s="48" t="s">
        <v>206</v>
      </c>
      <c r="K31" s="61" t="s">
        <v>168</v>
      </c>
      <c r="L31" s="48">
        <v>2</v>
      </c>
      <c r="M31" s="48">
        <f t="shared" si="1"/>
        <v>2000</v>
      </c>
      <c r="N31" s="48">
        <v>2100</v>
      </c>
      <c r="O31" s="69" t="s">
        <v>190</v>
      </c>
      <c r="P31" s="51">
        <v>4.0000000000000002E-4</v>
      </c>
      <c r="Q31" s="51">
        <f t="shared" si="2"/>
        <v>0.84000000000000008</v>
      </c>
      <c r="R31" s="49"/>
      <c r="S31" s="51"/>
    </row>
    <row r="32" spans="1:19" s="74" customFormat="1" ht="15.75" thickBot="1" x14ac:dyDescent="0.3">
      <c r="A32" s="72"/>
      <c r="B32" s="37">
        <f>ROW(B32) - ROW($B$9)</f>
        <v>23</v>
      </c>
      <c r="C32" s="66" t="s">
        <v>12</v>
      </c>
      <c r="D32" s="45" t="s">
        <v>39</v>
      </c>
      <c r="E32" s="46" t="s">
        <v>68</v>
      </c>
      <c r="F32" s="45" t="s">
        <v>87</v>
      </c>
      <c r="G32" s="46" t="s">
        <v>114</v>
      </c>
      <c r="H32" s="45" t="s">
        <v>122</v>
      </c>
      <c r="I32" s="45" t="s">
        <v>175</v>
      </c>
      <c r="J32" s="45" t="s">
        <v>151</v>
      </c>
      <c r="K32" s="60" t="s">
        <v>169</v>
      </c>
      <c r="L32" s="64">
        <v>1</v>
      </c>
      <c r="M32" s="45">
        <f t="shared" si="1"/>
        <v>1000</v>
      </c>
      <c r="N32" s="45">
        <v>1100</v>
      </c>
      <c r="O32" s="68" t="s">
        <v>190</v>
      </c>
      <c r="P32" s="50">
        <v>1.1999999999999999E-3</v>
      </c>
      <c r="Q32" s="50">
        <f t="shared" si="2"/>
        <v>1.3199999999999998</v>
      </c>
      <c r="R32" s="46"/>
      <c r="S32" s="50"/>
    </row>
    <row r="33" spans="1:19" s="74" customFormat="1" ht="60.75" thickBot="1" x14ac:dyDescent="0.3">
      <c r="A33" s="72"/>
      <c r="B33" s="37">
        <f t="shared" si="0"/>
        <v>24</v>
      </c>
      <c r="C33" s="67" t="s">
        <v>13</v>
      </c>
      <c r="D33" s="48" t="s">
        <v>40</v>
      </c>
      <c r="E33" s="49" t="s">
        <v>69</v>
      </c>
      <c r="F33" s="48" t="s">
        <v>189</v>
      </c>
      <c r="G33" s="49" t="s">
        <v>90</v>
      </c>
      <c r="H33" s="48" t="s">
        <v>134</v>
      </c>
      <c r="I33" s="48" t="s">
        <v>175</v>
      </c>
      <c r="J33" s="48" t="s">
        <v>152</v>
      </c>
      <c r="K33" s="61" t="s">
        <v>175</v>
      </c>
      <c r="L33" s="48">
        <v>1</v>
      </c>
      <c r="M33" s="48">
        <f t="shared" si="1"/>
        <v>1000</v>
      </c>
      <c r="N33" s="48">
        <v>1060</v>
      </c>
      <c r="O33" s="69" t="s">
        <v>190</v>
      </c>
      <c r="P33" s="51">
        <v>1.2200000000000001E-2</v>
      </c>
      <c r="Q33" s="51">
        <f t="shared" si="2"/>
        <v>12.932</v>
      </c>
      <c r="R33" s="49"/>
      <c r="S33" s="51"/>
    </row>
    <row r="34" spans="1:19" s="74" customFormat="1" ht="39" thickBot="1" x14ac:dyDescent="0.3">
      <c r="A34" s="72"/>
      <c r="B34" s="37">
        <f>ROW(B34) - ROW($B$9)</f>
        <v>25</v>
      </c>
      <c r="C34" s="66" t="s">
        <v>14</v>
      </c>
      <c r="D34" s="45" t="s">
        <v>41</v>
      </c>
      <c r="E34" s="46" t="s">
        <v>70</v>
      </c>
      <c r="F34" s="45" t="s">
        <v>91</v>
      </c>
      <c r="G34" s="46" t="s">
        <v>115</v>
      </c>
      <c r="H34" s="45" t="s">
        <v>135</v>
      </c>
      <c r="I34" s="45" t="s">
        <v>175</v>
      </c>
      <c r="J34" s="45" t="s">
        <v>153</v>
      </c>
      <c r="K34" s="60" t="s">
        <v>175</v>
      </c>
      <c r="L34" s="64">
        <v>1</v>
      </c>
      <c r="M34" s="45">
        <f t="shared" si="1"/>
        <v>1000</v>
      </c>
      <c r="N34" s="45">
        <v>1020</v>
      </c>
      <c r="O34" s="68" t="s">
        <v>190</v>
      </c>
      <c r="P34" s="50">
        <v>3.3330000000000002</v>
      </c>
      <c r="Q34" s="50">
        <f t="shared" si="2"/>
        <v>3399.6600000000003</v>
      </c>
      <c r="R34" s="75" t="s">
        <v>207</v>
      </c>
      <c r="S34" s="50"/>
    </row>
    <row r="35" spans="1:19" s="74" customFormat="1" ht="36.75" thickBot="1" x14ac:dyDescent="0.3">
      <c r="A35" s="72"/>
      <c r="B35" s="37">
        <f t="shared" si="0"/>
        <v>26</v>
      </c>
      <c r="C35" s="67" t="s">
        <v>15</v>
      </c>
      <c r="D35" s="48" t="s">
        <v>42</v>
      </c>
      <c r="E35" s="49" t="s">
        <v>71</v>
      </c>
      <c r="F35" s="48" t="s">
        <v>92</v>
      </c>
      <c r="G35" s="49" t="s">
        <v>116</v>
      </c>
      <c r="H35" s="48" t="s">
        <v>129</v>
      </c>
      <c r="I35" s="48" t="s">
        <v>175</v>
      </c>
      <c r="J35" s="48" t="s">
        <v>154</v>
      </c>
      <c r="K35" s="61" t="s">
        <v>175</v>
      </c>
      <c r="L35" s="48">
        <v>1</v>
      </c>
      <c r="M35" s="48">
        <f t="shared" si="1"/>
        <v>1000</v>
      </c>
      <c r="N35" s="48">
        <v>1030</v>
      </c>
      <c r="O35" s="69" t="s">
        <v>190</v>
      </c>
      <c r="P35" s="51">
        <v>0.17369999999999999</v>
      </c>
      <c r="Q35" s="51">
        <f t="shared" si="2"/>
        <v>178.911</v>
      </c>
      <c r="R35" s="49"/>
      <c r="S35" s="51"/>
    </row>
    <row r="36" spans="1:19" s="74" customFormat="1" ht="24.75" thickBot="1" x14ac:dyDescent="0.3">
      <c r="A36" s="72"/>
      <c r="B36" s="37">
        <f>ROW(B36) - ROW($B$9)</f>
        <v>27</v>
      </c>
      <c r="C36" s="66" t="s">
        <v>15</v>
      </c>
      <c r="D36" s="45" t="s">
        <v>43</v>
      </c>
      <c r="E36" s="46" t="s">
        <v>72</v>
      </c>
      <c r="F36" s="45" t="s">
        <v>93</v>
      </c>
      <c r="G36" s="46" t="s">
        <v>117</v>
      </c>
      <c r="H36" s="45" t="s">
        <v>129</v>
      </c>
      <c r="I36" s="45" t="s">
        <v>175</v>
      </c>
      <c r="J36" s="45" t="s">
        <v>155</v>
      </c>
      <c r="K36" s="60" t="s">
        <v>175</v>
      </c>
      <c r="L36" s="64">
        <v>1</v>
      </c>
      <c r="M36" s="45">
        <f t="shared" si="1"/>
        <v>1000</v>
      </c>
      <c r="N36" s="45">
        <v>1030</v>
      </c>
      <c r="O36" s="68" t="s">
        <v>190</v>
      </c>
      <c r="P36" s="50">
        <v>0.1326</v>
      </c>
      <c r="Q36" s="50">
        <f t="shared" si="2"/>
        <v>136.578</v>
      </c>
      <c r="R36" s="46"/>
      <c r="S36" s="50"/>
    </row>
    <row r="37" spans="1:19" s="74" customFormat="1" ht="48.75" thickBot="1" x14ac:dyDescent="0.3">
      <c r="A37" s="72"/>
      <c r="B37" s="37">
        <f t="shared" si="0"/>
        <v>28</v>
      </c>
      <c r="C37" s="67" t="s">
        <v>15</v>
      </c>
      <c r="D37" s="48" t="s">
        <v>44</v>
      </c>
      <c r="E37" s="49" t="s">
        <v>73</v>
      </c>
      <c r="F37" s="48" t="s">
        <v>94</v>
      </c>
      <c r="G37" s="49" t="s">
        <v>118</v>
      </c>
      <c r="H37" s="48" t="s">
        <v>136</v>
      </c>
      <c r="I37" s="48" t="s">
        <v>175</v>
      </c>
      <c r="J37" s="48" t="s">
        <v>156</v>
      </c>
      <c r="K37" s="61" t="s">
        <v>175</v>
      </c>
      <c r="L37" s="65">
        <v>1</v>
      </c>
      <c r="M37" s="48">
        <f t="shared" si="1"/>
        <v>1000</v>
      </c>
      <c r="N37" s="48">
        <v>1030</v>
      </c>
      <c r="O37" s="69" t="s">
        <v>190</v>
      </c>
      <c r="P37" s="51">
        <v>9.6000000000000002E-2</v>
      </c>
      <c r="Q37" s="51">
        <f t="shared" si="2"/>
        <v>98.88</v>
      </c>
      <c r="R37" s="49"/>
      <c r="S37" s="51"/>
    </row>
    <row r="38" spans="1:19" ht="19.5" thickBot="1" x14ac:dyDescent="0.3">
      <c r="A38" s="1"/>
      <c r="B38" s="32"/>
      <c r="C38" s="43"/>
      <c r="D38" s="33"/>
      <c r="E38" s="34"/>
      <c r="F38" s="35"/>
      <c r="G38" s="36"/>
      <c r="H38" s="35"/>
      <c r="I38" s="36"/>
      <c r="J38" s="35"/>
      <c r="K38" s="36"/>
      <c r="L38" s="63"/>
      <c r="M38" s="36"/>
      <c r="N38" s="99" t="s">
        <v>185</v>
      </c>
      <c r="O38" s="100"/>
      <c r="P38" s="100"/>
      <c r="Q38" s="57">
        <f>SUM(Q10:Q37)</f>
        <v>4373.9760000000006</v>
      </c>
      <c r="R38" s="95"/>
      <c r="S38" s="96"/>
    </row>
    <row r="39" spans="1:19" ht="19.5" thickBot="1" x14ac:dyDescent="0.3">
      <c r="A39" s="1"/>
      <c r="B39" s="25"/>
      <c r="C39" s="44"/>
      <c r="D39" s="9"/>
      <c r="E39" s="10"/>
      <c r="F39" s="10"/>
      <c r="G39" s="10"/>
      <c r="H39" s="10"/>
      <c r="I39" s="10"/>
      <c r="J39" s="10"/>
      <c r="K39" s="10"/>
      <c r="L39" s="10"/>
      <c r="M39" s="10"/>
      <c r="N39" s="99" t="s">
        <v>186</v>
      </c>
      <c r="O39" s="100"/>
      <c r="P39" s="100"/>
      <c r="Q39" s="58">
        <f>Q38/1000</f>
        <v>4.3739760000000008</v>
      </c>
      <c r="R39" s="97"/>
      <c r="S39" s="98"/>
    </row>
  </sheetData>
  <mergeCells count="5">
    <mergeCell ref="K1:S1"/>
    <mergeCell ref="S3:S8"/>
    <mergeCell ref="N38:P38"/>
    <mergeCell ref="R38:S39"/>
    <mergeCell ref="N39:P39"/>
  </mergeCells>
  <hyperlinks>
    <hyperlink ref="O10" r:id="rId1" xr:uid="{D9844732-396C-4327-B98C-CD304A05D8C2}"/>
    <hyperlink ref="O12" r:id="rId2" xr:uid="{03CDBA25-8014-45DB-B688-5651A7D0DB46}"/>
    <hyperlink ref="O13" r:id="rId3" xr:uid="{F19C69DE-83A9-49A6-83E0-1744C82F6EF6}"/>
    <hyperlink ref="O14" r:id="rId4" xr:uid="{EF51EFD8-C967-4115-8B45-FDD34A061999}"/>
    <hyperlink ref="O16" r:id="rId5" xr:uid="{4CAB6585-DF11-4303-9D6F-1F5C7C476380}"/>
    <hyperlink ref="O19" r:id="rId6" xr:uid="{01C9AFA9-A82C-4B2A-B412-FE864AFD6208}"/>
    <hyperlink ref="O20" r:id="rId7" xr:uid="{D6140372-66B5-4C88-8AC0-26723ECF074D}"/>
    <hyperlink ref="O22" r:id="rId8" xr:uid="{291EC59F-F9CF-4CC4-A9AB-FB3A19F9A6DC}"/>
    <hyperlink ref="O26" r:id="rId9" xr:uid="{A6569824-1B8C-4A92-A7B4-EC57D1F57BC7}"/>
    <hyperlink ref="O28" r:id="rId10" xr:uid="{F6948B1E-BBF9-4F1F-AFE8-42A86CD58DFC}"/>
    <hyperlink ref="O29" r:id="rId11" xr:uid="{8059D976-5DB8-4771-8FA6-720530944C74}"/>
    <hyperlink ref="O30" r:id="rId12" xr:uid="{DC146576-9860-4DD1-B7A8-7445E6025C6C}"/>
    <hyperlink ref="O32" r:id="rId13" xr:uid="{AF7244EC-E5A8-4118-9DB1-DE0A8CCE4393}"/>
    <hyperlink ref="O33" r:id="rId14" xr:uid="{D2593E23-2902-48EF-BA37-CE0AD4A2FBD5}"/>
    <hyperlink ref="O34" r:id="rId15" xr:uid="{4EE3C90B-B4F8-4E04-A6C3-96CC793BE285}"/>
    <hyperlink ref="O35" r:id="rId16" xr:uid="{53A45645-A0CE-4E03-AB60-06A9566B4DCC}"/>
    <hyperlink ref="O36" r:id="rId17" xr:uid="{5E1BF6E0-9C81-4307-904E-B69F5151CE80}"/>
    <hyperlink ref="O37" r:id="rId18" xr:uid="{EE60CBD9-0D2E-466F-BCDD-FB206A5D91BE}"/>
    <hyperlink ref="O11" r:id="rId19" xr:uid="{AA83AC8C-2D7E-44ED-B5C6-E3D5D35A1359}"/>
    <hyperlink ref="O15" r:id="rId20" xr:uid="{D09DE826-10C8-4AB8-B07C-53A7E34332C2}"/>
    <hyperlink ref="O18" r:id="rId21" xr:uid="{14E75850-C7F5-4D4B-A751-DF3334752377}"/>
    <hyperlink ref="O27" r:id="rId22" xr:uid="{08200A52-D7EF-4356-A07F-626BD40AAA3F}"/>
    <hyperlink ref="O23" r:id="rId23" xr:uid="{0A068B27-7EBB-4604-8463-045AE13D012F}"/>
    <hyperlink ref="O31" r:id="rId24" xr:uid="{222A17AA-674A-4697-B3A5-3F427A4B9885}"/>
    <hyperlink ref="O24" r:id="rId25" xr:uid="{A7CDF02D-587A-47D6-83A7-F8F3A19B4AAE}"/>
  </hyperlinks>
  <pageMargins left="0.7" right="0.7" top="0.75" bottom="0.75" header="0.3" footer="0.3"/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083D-93EC-4A99-8664-E3B9C6E437DC}">
  <dimension ref="A1:S39"/>
  <sheetViews>
    <sheetView topLeftCell="K12" workbookViewId="0">
      <selection activeCell="O26" sqref="O26"/>
    </sheetView>
  </sheetViews>
  <sheetFormatPr defaultRowHeight="15" x14ac:dyDescent="0.25"/>
  <cols>
    <col min="2" max="2" width="3" bestFit="1" customWidth="1"/>
    <col min="3" max="4" width="15" customWidth="1"/>
    <col min="5" max="5" width="27.42578125" customWidth="1"/>
    <col min="6" max="6" width="9.710937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21.42578125" bestFit="1" customWidth="1"/>
    <col min="14" max="14" width="18.28515625" bestFit="1" customWidth="1"/>
    <col min="15" max="15" width="5.42578125" bestFit="1" customWidth="1"/>
    <col min="16" max="16" width="21.85546875" bestFit="1" customWidth="1"/>
    <col min="17" max="17" width="22.42578125" bestFit="1" customWidth="1"/>
    <col min="18" max="18" width="13.140625" customWidth="1"/>
    <col min="19" max="19" width="25.85546875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91"/>
      <c r="L1" s="91"/>
      <c r="M1" s="91"/>
      <c r="N1" s="91"/>
      <c r="O1" s="91"/>
      <c r="P1" s="91"/>
      <c r="Q1" s="91"/>
      <c r="R1" s="91"/>
      <c r="S1" s="92"/>
    </row>
    <row r="2" spans="1:19" ht="32.25" thickBot="1" x14ac:dyDescent="0.3">
      <c r="A2" s="1"/>
      <c r="B2" s="21"/>
      <c r="C2" s="38"/>
      <c r="D2" s="11" t="s">
        <v>0</v>
      </c>
      <c r="E2" s="11"/>
      <c r="F2" s="53" t="s">
        <v>187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9"/>
      <c r="D3" s="13" t="s">
        <v>1</v>
      </c>
      <c r="E3" s="13"/>
      <c r="F3" s="54" t="s">
        <v>188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93"/>
    </row>
    <row r="4" spans="1:19" x14ac:dyDescent="0.25">
      <c r="A4" s="1"/>
      <c r="B4" s="22"/>
      <c r="C4" s="39"/>
      <c r="D4" s="13" t="s">
        <v>2</v>
      </c>
      <c r="E4" s="13"/>
      <c r="F4" s="55" t="s">
        <v>188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94"/>
    </row>
    <row r="5" spans="1:19" x14ac:dyDescent="0.25">
      <c r="A5" s="1"/>
      <c r="B5" s="22"/>
      <c r="C5" s="39"/>
      <c r="D5" s="13" t="s">
        <v>3</v>
      </c>
      <c r="E5" s="13"/>
      <c r="F5" s="56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94"/>
    </row>
    <row r="6" spans="1:19" x14ac:dyDescent="0.25">
      <c r="A6" s="1"/>
      <c r="B6" s="23"/>
      <c r="C6" s="40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94"/>
    </row>
    <row r="7" spans="1:19" x14ac:dyDescent="0.25">
      <c r="A7" s="1"/>
      <c r="B7" s="24"/>
      <c r="C7" s="41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94"/>
    </row>
    <row r="8" spans="1:19" ht="15.75" thickBot="1" x14ac:dyDescent="0.3">
      <c r="A8" s="1"/>
      <c r="B8" s="27"/>
      <c r="C8" s="42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94"/>
    </row>
    <row r="9" spans="1:19" ht="15.75" thickBot="1" x14ac:dyDescent="0.3">
      <c r="A9" s="1"/>
      <c r="B9" s="30" t="s">
        <v>4</v>
      </c>
      <c r="C9" s="30" t="s">
        <v>6</v>
      </c>
      <c r="D9" s="31" t="s">
        <v>16</v>
      </c>
      <c r="E9" s="30" t="s">
        <v>45</v>
      </c>
      <c r="F9" s="31" t="s">
        <v>74</v>
      </c>
      <c r="G9" s="30" t="s">
        <v>95</v>
      </c>
      <c r="H9" s="31" t="s">
        <v>119</v>
      </c>
      <c r="I9" s="30" t="s">
        <v>176</v>
      </c>
      <c r="J9" s="31" t="s">
        <v>137</v>
      </c>
      <c r="K9" s="59" t="s">
        <v>177</v>
      </c>
      <c r="L9" s="30" t="s">
        <v>170</v>
      </c>
      <c r="M9" s="62" t="s">
        <v>208</v>
      </c>
      <c r="N9" s="31" t="s">
        <v>209</v>
      </c>
      <c r="O9" s="30" t="s">
        <v>180</v>
      </c>
      <c r="P9" s="31" t="s">
        <v>210</v>
      </c>
      <c r="Q9" s="30" t="s">
        <v>211</v>
      </c>
      <c r="R9" s="31" t="s">
        <v>183</v>
      </c>
      <c r="S9" s="30" t="s">
        <v>184</v>
      </c>
    </row>
    <row r="10" spans="1:19" s="74" customFormat="1" ht="15.75" thickBot="1" x14ac:dyDescent="0.3">
      <c r="A10" s="72"/>
      <c r="B10" s="37">
        <f>ROW(B10) - ROW($B$9)</f>
        <v>1</v>
      </c>
      <c r="C10" s="66" t="s">
        <v>7</v>
      </c>
      <c r="D10" s="45" t="s">
        <v>17</v>
      </c>
      <c r="E10" s="46" t="s">
        <v>46</v>
      </c>
      <c r="F10" s="45" t="s">
        <v>75</v>
      </c>
      <c r="G10" s="46" t="s">
        <v>96</v>
      </c>
      <c r="H10" s="45" t="s">
        <v>120</v>
      </c>
      <c r="I10" s="45" t="s">
        <v>175</v>
      </c>
      <c r="J10" s="45" t="s">
        <v>138</v>
      </c>
      <c r="K10" s="60" t="s">
        <v>157</v>
      </c>
      <c r="L10" s="45">
        <v>2</v>
      </c>
      <c r="M10" s="47">
        <f>L10*5000</f>
        <v>10000</v>
      </c>
      <c r="N10" s="45">
        <v>10100</v>
      </c>
      <c r="O10" s="68" t="s">
        <v>190</v>
      </c>
      <c r="P10" s="50">
        <v>1.2999999999999999E-2</v>
      </c>
      <c r="Q10" s="50">
        <f>P10*N10</f>
        <v>131.29999999999998</v>
      </c>
      <c r="R10" s="46"/>
      <c r="S10" s="73"/>
    </row>
    <row r="11" spans="1:19" s="74" customFormat="1" ht="15.75" thickBot="1" x14ac:dyDescent="0.3">
      <c r="A11" s="72"/>
      <c r="B11" s="37">
        <f t="shared" ref="B11:B37" si="0">ROW(B11) - ROW($B$9)</f>
        <v>2</v>
      </c>
      <c r="C11" s="67" t="s">
        <v>7</v>
      </c>
      <c r="D11" s="48" t="s">
        <v>18</v>
      </c>
      <c r="E11" s="49" t="s">
        <v>47</v>
      </c>
      <c r="F11" s="48" t="s">
        <v>76</v>
      </c>
      <c r="G11" s="70" t="s">
        <v>97</v>
      </c>
      <c r="H11" s="48" t="s">
        <v>121</v>
      </c>
      <c r="I11" s="48" t="s">
        <v>191</v>
      </c>
      <c r="J11" s="48" t="s">
        <v>192</v>
      </c>
      <c r="K11" s="61" t="s">
        <v>158</v>
      </c>
      <c r="L11" s="48">
        <v>2</v>
      </c>
      <c r="M11" s="48">
        <f t="shared" ref="M11:M37" si="1">L11*5000</f>
        <v>10000</v>
      </c>
      <c r="N11" s="48">
        <v>10100</v>
      </c>
      <c r="O11" s="69" t="s">
        <v>190</v>
      </c>
      <c r="P11" s="51">
        <v>1.1000000000000001E-3</v>
      </c>
      <c r="Q11" s="51">
        <f t="shared" ref="Q11:Q37" si="2">P11*N11</f>
        <v>11.110000000000001</v>
      </c>
      <c r="R11" s="49"/>
      <c r="S11" s="51"/>
    </row>
    <row r="12" spans="1:19" s="74" customFormat="1" ht="15.75" thickBot="1" x14ac:dyDescent="0.3">
      <c r="A12" s="72"/>
      <c r="B12" s="37">
        <f>ROW(B12) - ROW($B$9)</f>
        <v>3</v>
      </c>
      <c r="C12" s="66" t="s">
        <v>7</v>
      </c>
      <c r="D12" s="45" t="s">
        <v>19</v>
      </c>
      <c r="E12" s="46" t="s">
        <v>48</v>
      </c>
      <c r="F12" s="45" t="s">
        <v>77</v>
      </c>
      <c r="G12" s="46" t="s">
        <v>98</v>
      </c>
      <c r="H12" s="45" t="s">
        <v>122</v>
      </c>
      <c r="I12" s="45"/>
      <c r="J12" s="45" t="s">
        <v>139</v>
      </c>
      <c r="K12" s="60" t="s">
        <v>159</v>
      </c>
      <c r="L12" s="64">
        <v>1</v>
      </c>
      <c r="M12" s="64">
        <f t="shared" si="1"/>
        <v>5000</v>
      </c>
      <c r="N12" s="45">
        <v>5100</v>
      </c>
      <c r="O12" s="68" t="s">
        <v>190</v>
      </c>
      <c r="P12" s="50">
        <v>3.2000000000000002E-3</v>
      </c>
      <c r="Q12" s="50">
        <f t="shared" si="2"/>
        <v>16.32</v>
      </c>
      <c r="R12" s="46"/>
      <c r="S12" s="50"/>
    </row>
    <row r="13" spans="1:19" s="74" customFormat="1" ht="48.75" thickBot="1" x14ac:dyDescent="0.3">
      <c r="A13" s="72"/>
      <c r="B13" s="37">
        <f t="shared" si="0"/>
        <v>4</v>
      </c>
      <c r="C13" s="67" t="s">
        <v>7</v>
      </c>
      <c r="D13" s="48" t="s">
        <v>20</v>
      </c>
      <c r="E13" s="49" t="s">
        <v>49</v>
      </c>
      <c r="F13" s="48" t="s">
        <v>189</v>
      </c>
      <c r="G13" s="49" t="s">
        <v>78</v>
      </c>
      <c r="H13" s="48" t="s">
        <v>123</v>
      </c>
      <c r="I13" s="48" t="s">
        <v>175</v>
      </c>
      <c r="J13" s="48" t="s">
        <v>140</v>
      </c>
      <c r="K13" s="61" t="s">
        <v>160</v>
      </c>
      <c r="L13" s="48">
        <v>2</v>
      </c>
      <c r="M13" s="48">
        <f t="shared" si="1"/>
        <v>10000</v>
      </c>
      <c r="N13" s="48">
        <v>10100</v>
      </c>
      <c r="O13" s="69" t="s">
        <v>190</v>
      </c>
      <c r="P13" s="51">
        <v>1.9099999999999999E-2</v>
      </c>
      <c r="Q13" s="51">
        <f t="shared" si="2"/>
        <v>192.91</v>
      </c>
      <c r="R13" s="49"/>
      <c r="S13" s="51"/>
    </row>
    <row r="14" spans="1:19" s="74" customFormat="1" ht="15.75" thickBot="1" x14ac:dyDescent="0.3">
      <c r="A14" s="72"/>
      <c r="B14" s="37">
        <f>ROW(B14) - ROW($B$9)</f>
        <v>5</v>
      </c>
      <c r="C14" s="66" t="s">
        <v>7</v>
      </c>
      <c r="D14" s="45" t="s">
        <v>21</v>
      </c>
      <c r="E14" s="46" t="s">
        <v>50</v>
      </c>
      <c r="F14" s="45" t="s">
        <v>77</v>
      </c>
      <c r="G14" s="46" t="s">
        <v>99</v>
      </c>
      <c r="H14" s="45" t="s">
        <v>120</v>
      </c>
      <c r="I14" s="45" t="s">
        <v>175</v>
      </c>
      <c r="J14" s="45" t="s">
        <v>141</v>
      </c>
      <c r="K14" s="60" t="s">
        <v>161</v>
      </c>
      <c r="L14" s="64">
        <v>1</v>
      </c>
      <c r="M14" s="64">
        <f t="shared" si="1"/>
        <v>5000</v>
      </c>
      <c r="N14" s="45">
        <v>5100</v>
      </c>
      <c r="O14" s="68" t="s">
        <v>190</v>
      </c>
      <c r="P14" s="50">
        <v>1.0800000000000001E-2</v>
      </c>
      <c r="Q14" s="50">
        <f t="shared" si="2"/>
        <v>55.080000000000005</v>
      </c>
      <c r="R14" s="46"/>
      <c r="S14" s="50"/>
    </row>
    <row r="15" spans="1:19" s="74" customFormat="1" ht="15.75" thickBot="1" x14ac:dyDescent="0.3">
      <c r="A15" s="72"/>
      <c r="B15" s="37">
        <f t="shared" si="0"/>
        <v>6</v>
      </c>
      <c r="C15" s="67" t="s">
        <v>7</v>
      </c>
      <c r="D15" s="48" t="s">
        <v>22</v>
      </c>
      <c r="E15" s="49" t="s">
        <v>51</v>
      </c>
      <c r="F15" s="48" t="s">
        <v>77</v>
      </c>
      <c r="G15" s="70" t="s">
        <v>100</v>
      </c>
      <c r="H15" s="48" t="s">
        <v>121</v>
      </c>
      <c r="I15" s="48" t="s">
        <v>193</v>
      </c>
      <c r="J15" s="48" t="s">
        <v>194</v>
      </c>
      <c r="K15" s="61" t="s">
        <v>162</v>
      </c>
      <c r="L15" s="48">
        <v>1</v>
      </c>
      <c r="M15" s="48">
        <f t="shared" si="1"/>
        <v>5000</v>
      </c>
      <c r="N15" s="48">
        <v>5100</v>
      </c>
      <c r="O15" s="69" t="s">
        <v>190</v>
      </c>
      <c r="P15" s="51">
        <v>1.4E-2</v>
      </c>
      <c r="Q15" s="51">
        <f t="shared" si="2"/>
        <v>71.400000000000006</v>
      </c>
      <c r="R15" s="49"/>
      <c r="S15" s="51"/>
    </row>
    <row r="16" spans="1:19" ht="15.75" thickBot="1" x14ac:dyDescent="0.3">
      <c r="A16" s="1"/>
      <c r="B16" s="76">
        <f>ROW(B16) - ROW($B$9)</f>
        <v>7</v>
      </c>
      <c r="C16" s="77" t="s">
        <v>7</v>
      </c>
      <c r="D16" s="78" t="s">
        <v>23</v>
      </c>
      <c r="E16" s="79" t="s">
        <v>52</v>
      </c>
      <c r="F16" s="78" t="s">
        <v>79</v>
      </c>
      <c r="G16" s="79" t="s">
        <v>101</v>
      </c>
      <c r="H16" s="78" t="s">
        <v>122</v>
      </c>
      <c r="I16" s="78"/>
      <c r="J16" s="78" t="s">
        <v>142</v>
      </c>
      <c r="K16" s="80" t="s">
        <v>163</v>
      </c>
      <c r="L16" s="88">
        <v>1</v>
      </c>
      <c r="M16" s="88">
        <f t="shared" si="1"/>
        <v>5000</v>
      </c>
      <c r="N16" s="78">
        <v>5100</v>
      </c>
      <c r="O16" s="81" t="s">
        <v>190</v>
      </c>
      <c r="P16" s="82">
        <v>1.0500000000000001E-2</v>
      </c>
      <c r="Q16" s="82">
        <f t="shared" si="2"/>
        <v>53.550000000000004</v>
      </c>
      <c r="R16" s="79"/>
      <c r="S16" s="82"/>
    </row>
    <row r="17" spans="1:19" ht="15.75" thickBot="1" x14ac:dyDescent="0.3">
      <c r="A17" s="1"/>
      <c r="B17" s="76">
        <f t="shared" si="0"/>
        <v>8</v>
      </c>
      <c r="C17" s="83" t="s">
        <v>7</v>
      </c>
      <c r="D17" s="84" t="s">
        <v>24</v>
      </c>
      <c r="E17" s="85" t="s">
        <v>53</v>
      </c>
      <c r="F17" s="84" t="s">
        <v>76</v>
      </c>
      <c r="G17" s="85" t="s">
        <v>175</v>
      </c>
      <c r="H17" s="84" t="s">
        <v>175</v>
      </c>
      <c r="I17" s="84" t="s">
        <v>175</v>
      </c>
      <c r="J17" s="84" t="s">
        <v>175</v>
      </c>
      <c r="K17" s="86" t="s">
        <v>175</v>
      </c>
      <c r="L17" s="84">
        <v>2</v>
      </c>
      <c r="M17" s="84">
        <f t="shared" si="1"/>
        <v>10000</v>
      </c>
      <c r="N17" s="84" t="s">
        <v>175</v>
      </c>
      <c r="O17" s="84" t="s">
        <v>175</v>
      </c>
      <c r="P17" s="87" t="s">
        <v>175</v>
      </c>
      <c r="Q17" s="87" t="s">
        <v>175</v>
      </c>
      <c r="R17" s="89" t="s">
        <v>198</v>
      </c>
      <c r="S17" s="87"/>
    </row>
    <row r="18" spans="1:19" s="74" customFormat="1" ht="24.75" thickBot="1" x14ac:dyDescent="0.3">
      <c r="A18" s="72"/>
      <c r="B18" s="37">
        <f>ROW(B18) - ROW($B$9)</f>
        <v>9</v>
      </c>
      <c r="C18" s="66" t="s">
        <v>171</v>
      </c>
      <c r="D18" s="45" t="s">
        <v>25</v>
      </c>
      <c r="E18" s="46" t="s">
        <v>54</v>
      </c>
      <c r="F18" s="45" t="s">
        <v>80</v>
      </c>
      <c r="G18" s="46" t="s">
        <v>102</v>
      </c>
      <c r="H18" s="45" t="s">
        <v>124</v>
      </c>
      <c r="I18" s="45" t="s">
        <v>175</v>
      </c>
      <c r="J18" s="45" t="s">
        <v>195</v>
      </c>
      <c r="K18" s="60" t="s">
        <v>175</v>
      </c>
      <c r="L18" s="64">
        <v>1</v>
      </c>
      <c r="M18" s="64">
        <f t="shared" si="1"/>
        <v>5000</v>
      </c>
      <c r="N18" s="45">
        <v>5050</v>
      </c>
      <c r="O18" s="68" t="s">
        <v>190</v>
      </c>
      <c r="P18" s="50">
        <v>0.1128</v>
      </c>
      <c r="Q18" s="50">
        <f t="shared" si="2"/>
        <v>569.64</v>
      </c>
      <c r="R18" s="46"/>
      <c r="S18" s="50"/>
    </row>
    <row r="19" spans="1:19" s="74" customFormat="1" ht="36.75" thickBot="1" x14ac:dyDescent="0.3">
      <c r="A19" s="72"/>
      <c r="B19" s="37">
        <f t="shared" si="0"/>
        <v>10</v>
      </c>
      <c r="C19" s="67" t="s">
        <v>8</v>
      </c>
      <c r="D19" s="48" t="s">
        <v>26</v>
      </c>
      <c r="E19" s="49" t="s">
        <v>55</v>
      </c>
      <c r="F19" s="48" t="s">
        <v>81</v>
      </c>
      <c r="G19" s="49" t="s">
        <v>103</v>
      </c>
      <c r="H19" s="48" t="s">
        <v>125</v>
      </c>
      <c r="I19" s="48" t="s">
        <v>175</v>
      </c>
      <c r="J19" s="48" t="s">
        <v>143</v>
      </c>
      <c r="K19" s="61" t="s">
        <v>175</v>
      </c>
      <c r="L19" s="48">
        <v>1</v>
      </c>
      <c r="M19" s="48">
        <f t="shared" si="1"/>
        <v>5000</v>
      </c>
      <c r="N19" s="48">
        <v>5050</v>
      </c>
      <c r="O19" s="69" t="s">
        <v>190</v>
      </c>
      <c r="P19" s="51">
        <v>4.1300000000000003E-2</v>
      </c>
      <c r="Q19" s="51">
        <f t="shared" si="2"/>
        <v>208.56500000000003</v>
      </c>
      <c r="R19" s="49"/>
      <c r="S19" s="51"/>
    </row>
    <row r="20" spans="1:19" s="74" customFormat="1" ht="24.75" thickBot="1" x14ac:dyDescent="0.3">
      <c r="A20" s="72"/>
      <c r="B20" s="37">
        <f>ROW(B20) - ROW($B$9)</f>
        <v>11</v>
      </c>
      <c r="C20" s="66" t="s">
        <v>172</v>
      </c>
      <c r="D20" s="45" t="s">
        <v>27</v>
      </c>
      <c r="E20" s="46" t="s">
        <v>56</v>
      </c>
      <c r="F20" s="45" t="s">
        <v>189</v>
      </c>
      <c r="G20" s="46" t="s">
        <v>104</v>
      </c>
      <c r="H20" s="45" t="s">
        <v>126</v>
      </c>
      <c r="I20" s="45" t="s">
        <v>175</v>
      </c>
      <c r="J20" s="45" t="s">
        <v>144</v>
      </c>
      <c r="K20" s="60" t="s">
        <v>175</v>
      </c>
      <c r="L20" s="64">
        <v>1</v>
      </c>
      <c r="M20" s="64">
        <f t="shared" si="1"/>
        <v>5000</v>
      </c>
      <c r="N20" s="45">
        <v>5050</v>
      </c>
      <c r="O20" s="68" t="s">
        <v>190</v>
      </c>
      <c r="P20" s="50">
        <v>0.1023</v>
      </c>
      <c r="Q20" s="50">
        <f t="shared" si="2"/>
        <v>516.61500000000001</v>
      </c>
      <c r="R20" s="46"/>
      <c r="S20" s="50"/>
    </row>
    <row r="21" spans="1:19" ht="15.75" thickBot="1" x14ac:dyDescent="0.3">
      <c r="A21" s="1"/>
      <c r="B21" s="76">
        <f t="shared" si="0"/>
        <v>12</v>
      </c>
      <c r="C21" s="83" t="s">
        <v>173</v>
      </c>
      <c r="D21" s="84" t="s">
        <v>28</v>
      </c>
      <c r="E21" s="85" t="s">
        <v>57</v>
      </c>
      <c r="F21" s="84" t="s">
        <v>189</v>
      </c>
      <c r="G21" s="84" t="s">
        <v>82</v>
      </c>
      <c r="H21" s="84" t="s">
        <v>175</v>
      </c>
      <c r="I21" s="84" t="s">
        <v>175</v>
      </c>
      <c r="J21" s="84" t="s">
        <v>175</v>
      </c>
      <c r="K21" s="86" t="s">
        <v>175</v>
      </c>
      <c r="L21" s="84">
        <v>1</v>
      </c>
      <c r="M21" s="84">
        <f t="shared" si="1"/>
        <v>5000</v>
      </c>
      <c r="N21" s="84" t="s">
        <v>175</v>
      </c>
      <c r="O21" s="84" t="s">
        <v>175</v>
      </c>
      <c r="P21" s="87" t="s">
        <v>175</v>
      </c>
      <c r="Q21" s="87" t="s">
        <v>175</v>
      </c>
      <c r="R21" s="89" t="s">
        <v>198</v>
      </c>
      <c r="S21" s="87"/>
    </row>
    <row r="22" spans="1:19" s="74" customFormat="1" ht="51.75" thickBot="1" x14ac:dyDescent="0.3">
      <c r="A22" s="72"/>
      <c r="B22" s="37">
        <f>ROW(B22) - ROW($B$9)</f>
        <v>13</v>
      </c>
      <c r="C22" s="66" t="s">
        <v>9</v>
      </c>
      <c r="D22" s="45" t="s">
        <v>29</v>
      </c>
      <c r="E22" s="46" t="s">
        <v>58</v>
      </c>
      <c r="F22" s="45" t="s">
        <v>83</v>
      </c>
      <c r="G22" s="46" t="s">
        <v>105</v>
      </c>
      <c r="H22" s="45" t="s">
        <v>127</v>
      </c>
      <c r="I22" s="45" t="s">
        <v>175</v>
      </c>
      <c r="J22" s="45" t="s">
        <v>145</v>
      </c>
      <c r="K22" s="60" t="s">
        <v>175</v>
      </c>
      <c r="L22" s="64">
        <v>1</v>
      </c>
      <c r="M22" s="64">
        <f t="shared" si="1"/>
        <v>5000</v>
      </c>
      <c r="N22" s="45">
        <v>5050</v>
      </c>
      <c r="O22" s="68" t="s">
        <v>190</v>
      </c>
      <c r="P22" s="50">
        <v>4.4499999999999998E-2</v>
      </c>
      <c r="Q22" s="50">
        <f t="shared" si="2"/>
        <v>224.72499999999999</v>
      </c>
      <c r="R22" s="75" t="s">
        <v>207</v>
      </c>
      <c r="S22" s="50"/>
    </row>
    <row r="23" spans="1:19" s="74" customFormat="1" ht="15.75" thickBot="1" x14ac:dyDescent="0.3">
      <c r="A23" s="72"/>
      <c r="B23" s="37">
        <f t="shared" si="0"/>
        <v>14</v>
      </c>
      <c r="C23" s="67" t="s">
        <v>9</v>
      </c>
      <c r="D23" s="48" t="s">
        <v>30</v>
      </c>
      <c r="E23" s="49" t="s">
        <v>59</v>
      </c>
      <c r="F23" s="48" t="s">
        <v>83</v>
      </c>
      <c r="G23" s="70" t="s">
        <v>106</v>
      </c>
      <c r="H23" s="48" t="s">
        <v>128</v>
      </c>
      <c r="I23" s="48" t="s">
        <v>199</v>
      </c>
      <c r="J23" s="48" t="s">
        <v>200</v>
      </c>
      <c r="K23" s="61" t="s">
        <v>175</v>
      </c>
      <c r="L23" s="48">
        <v>1</v>
      </c>
      <c r="M23" s="48">
        <f t="shared" si="1"/>
        <v>5000</v>
      </c>
      <c r="N23" s="48">
        <v>5100</v>
      </c>
      <c r="O23" s="69" t="s">
        <v>190</v>
      </c>
      <c r="P23" s="51">
        <v>4.0000000000000001E-3</v>
      </c>
      <c r="Q23" s="51">
        <f t="shared" si="2"/>
        <v>20.400000000000002</v>
      </c>
      <c r="R23" s="49"/>
      <c r="S23" s="51"/>
    </row>
    <row r="24" spans="1:19" s="74" customFormat="1" ht="51.75" thickBot="1" x14ac:dyDescent="0.3">
      <c r="A24" s="72"/>
      <c r="B24" s="37">
        <f>ROW(B24) - ROW($B$9)</f>
        <v>15</v>
      </c>
      <c r="C24" s="66" t="s">
        <v>10</v>
      </c>
      <c r="D24" s="45" t="s">
        <v>31</v>
      </c>
      <c r="E24" s="46" t="s">
        <v>60</v>
      </c>
      <c r="F24" s="45" t="s">
        <v>84</v>
      </c>
      <c r="G24" s="46" t="s">
        <v>107</v>
      </c>
      <c r="H24" s="45" t="s">
        <v>129</v>
      </c>
      <c r="I24" s="45" t="s">
        <v>175</v>
      </c>
      <c r="J24" s="45" t="s">
        <v>146</v>
      </c>
      <c r="K24" s="60" t="s">
        <v>175</v>
      </c>
      <c r="L24" s="64">
        <v>8</v>
      </c>
      <c r="M24" s="64">
        <f t="shared" si="1"/>
        <v>40000</v>
      </c>
      <c r="N24" s="45">
        <v>40100</v>
      </c>
      <c r="O24" s="68" t="s">
        <v>190</v>
      </c>
      <c r="P24" s="50">
        <v>3.3799999999999997E-2</v>
      </c>
      <c r="Q24" s="50">
        <f t="shared" si="2"/>
        <v>1355.3799999999999</v>
      </c>
      <c r="R24" s="75" t="s">
        <v>207</v>
      </c>
      <c r="S24" s="50"/>
    </row>
    <row r="25" spans="1:19" ht="15.75" thickBot="1" x14ac:dyDescent="0.3">
      <c r="A25" s="1"/>
      <c r="B25" s="76">
        <f t="shared" si="0"/>
        <v>16</v>
      </c>
      <c r="C25" s="83" t="s">
        <v>174</v>
      </c>
      <c r="D25" s="84" t="s">
        <v>32</v>
      </c>
      <c r="E25" s="85" t="s">
        <v>61</v>
      </c>
      <c r="F25" s="84" t="s">
        <v>189</v>
      </c>
      <c r="G25" s="85" t="s">
        <v>175</v>
      </c>
      <c r="H25" s="84" t="s">
        <v>175</v>
      </c>
      <c r="I25" s="84" t="s">
        <v>175</v>
      </c>
      <c r="J25" s="84" t="s">
        <v>175</v>
      </c>
      <c r="K25" s="86" t="s">
        <v>175</v>
      </c>
      <c r="L25" s="84">
        <v>3</v>
      </c>
      <c r="M25" s="84">
        <f t="shared" si="1"/>
        <v>15000</v>
      </c>
      <c r="N25" s="84" t="s">
        <v>175</v>
      </c>
      <c r="O25" s="84" t="s">
        <v>175</v>
      </c>
      <c r="P25" s="87" t="s">
        <v>175</v>
      </c>
      <c r="Q25" s="87" t="s">
        <v>175</v>
      </c>
      <c r="R25" s="89" t="s">
        <v>198</v>
      </c>
      <c r="S25" s="87"/>
    </row>
    <row r="26" spans="1:19" s="74" customFormat="1" ht="60.75" thickBot="1" x14ac:dyDescent="0.3">
      <c r="A26" s="72"/>
      <c r="B26" s="37">
        <f>ROW(B26) - ROW($B$9)</f>
        <v>17</v>
      </c>
      <c r="C26" s="66" t="s">
        <v>11</v>
      </c>
      <c r="D26" s="45" t="s">
        <v>33</v>
      </c>
      <c r="E26" s="46" t="s">
        <v>62</v>
      </c>
      <c r="F26" s="45" t="s">
        <v>85</v>
      </c>
      <c r="G26" s="46" t="s">
        <v>108</v>
      </c>
      <c r="H26" s="45" t="s">
        <v>130</v>
      </c>
      <c r="I26" s="45" t="s">
        <v>175</v>
      </c>
      <c r="J26" s="45" t="s">
        <v>147</v>
      </c>
      <c r="K26" s="60" t="s">
        <v>175</v>
      </c>
      <c r="L26" s="64">
        <v>1</v>
      </c>
      <c r="M26" s="64">
        <f t="shared" si="1"/>
        <v>5000</v>
      </c>
      <c r="N26" s="45">
        <v>5060</v>
      </c>
      <c r="O26" s="68" t="s">
        <v>190</v>
      </c>
      <c r="P26" s="50">
        <v>1.8100000000000002E-2</v>
      </c>
      <c r="Q26" s="50">
        <f t="shared" si="2"/>
        <v>91.586000000000013</v>
      </c>
      <c r="R26" s="46"/>
      <c r="S26" s="50"/>
    </row>
    <row r="27" spans="1:19" s="74" customFormat="1" ht="24.75" thickBot="1" x14ac:dyDescent="0.3">
      <c r="A27" s="72"/>
      <c r="B27" s="37">
        <f t="shared" si="0"/>
        <v>18</v>
      </c>
      <c r="C27" s="67" t="s">
        <v>12</v>
      </c>
      <c r="D27" s="48" t="s">
        <v>34</v>
      </c>
      <c r="E27" s="49" t="s">
        <v>63</v>
      </c>
      <c r="F27" s="48" t="s">
        <v>86</v>
      </c>
      <c r="G27" s="70" t="s">
        <v>109</v>
      </c>
      <c r="H27" s="48" t="s">
        <v>131</v>
      </c>
      <c r="I27" s="48" t="s">
        <v>196</v>
      </c>
      <c r="J27" s="48" t="s">
        <v>197</v>
      </c>
      <c r="K27" s="61" t="s">
        <v>164</v>
      </c>
      <c r="L27" s="48">
        <v>3</v>
      </c>
      <c r="M27" s="48">
        <f t="shared" si="1"/>
        <v>15000</v>
      </c>
      <c r="N27" s="48">
        <v>15100</v>
      </c>
      <c r="O27" s="69" t="s">
        <v>190</v>
      </c>
      <c r="P27" s="51">
        <v>5.9999999999999995E-4</v>
      </c>
      <c r="Q27" s="51">
        <f t="shared" si="2"/>
        <v>9.0599999999999987</v>
      </c>
      <c r="R27" s="49"/>
      <c r="S27" s="51"/>
    </row>
    <row r="28" spans="1:19" s="74" customFormat="1" ht="15.75" thickBot="1" x14ac:dyDescent="0.3">
      <c r="A28" s="72"/>
      <c r="B28" s="37">
        <f>ROW(B28) - ROW($B$9)</f>
        <v>19</v>
      </c>
      <c r="C28" s="66" t="s">
        <v>12</v>
      </c>
      <c r="D28" s="45" t="s">
        <v>35</v>
      </c>
      <c r="E28" s="46" t="s">
        <v>64</v>
      </c>
      <c r="F28" s="45" t="s">
        <v>87</v>
      </c>
      <c r="G28" s="46" t="s">
        <v>110</v>
      </c>
      <c r="H28" s="45" t="s">
        <v>122</v>
      </c>
      <c r="I28" s="45" t="s">
        <v>175</v>
      </c>
      <c r="J28" s="45" t="s">
        <v>148</v>
      </c>
      <c r="K28" s="60" t="s">
        <v>165</v>
      </c>
      <c r="L28" s="64">
        <v>2</v>
      </c>
      <c r="M28" s="64">
        <f t="shared" si="1"/>
        <v>10000</v>
      </c>
      <c r="N28" s="45">
        <v>10100</v>
      </c>
      <c r="O28" s="68" t="s">
        <v>190</v>
      </c>
      <c r="P28" s="50">
        <v>6.9999999999999999E-4</v>
      </c>
      <c r="Q28" s="50">
        <f t="shared" si="2"/>
        <v>7.07</v>
      </c>
      <c r="R28" s="46"/>
      <c r="S28" s="50"/>
    </row>
    <row r="29" spans="1:19" s="74" customFormat="1" ht="51.75" thickBot="1" x14ac:dyDescent="0.3">
      <c r="A29" s="72"/>
      <c r="B29" s="37">
        <f t="shared" si="0"/>
        <v>20</v>
      </c>
      <c r="C29" s="67" t="s">
        <v>12</v>
      </c>
      <c r="D29" s="48" t="s">
        <v>36</v>
      </c>
      <c r="E29" s="49" t="s">
        <v>65</v>
      </c>
      <c r="F29" s="48" t="s">
        <v>88</v>
      </c>
      <c r="G29" s="49" t="s">
        <v>111</v>
      </c>
      <c r="H29" s="48" t="s">
        <v>132</v>
      </c>
      <c r="I29" s="48" t="s">
        <v>175</v>
      </c>
      <c r="J29" s="48" t="s">
        <v>149</v>
      </c>
      <c r="K29" s="61" t="s">
        <v>166</v>
      </c>
      <c r="L29" s="48">
        <v>4</v>
      </c>
      <c r="M29" s="48">
        <f t="shared" si="1"/>
        <v>20000</v>
      </c>
      <c r="N29" s="48">
        <v>20100</v>
      </c>
      <c r="O29" s="69" t="s">
        <v>190</v>
      </c>
      <c r="P29" s="51">
        <v>5.4999999999999997E-3</v>
      </c>
      <c r="Q29" s="51">
        <f t="shared" si="2"/>
        <v>110.55</v>
      </c>
      <c r="R29" s="90" t="s">
        <v>207</v>
      </c>
      <c r="S29" s="51"/>
    </row>
    <row r="30" spans="1:19" ht="15.75" thickBot="1" x14ac:dyDescent="0.3">
      <c r="A30" s="1"/>
      <c r="B30" s="76">
        <f>ROW(B30) - ROW($B$9)</f>
        <v>21</v>
      </c>
      <c r="C30" s="77" t="s">
        <v>12</v>
      </c>
      <c r="D30" s="78" t="s">
        <v>37</v>
      </c>
      <c r="E30" s="79" t="s">
        <v>66</v>
      </c>
      <c r="F30" s="78" t="s">
        <v>87</v>
      </c>
      <c r="G30" s="79" t="s">
        <v>112</v>
      </c>
      <c r="H30" s="78" t="s">
        <v>122</v>
      </c>
      <c r="I30" s="78" t="s">
        <v>175</v>
      </c>
      <c r="J30" s="78" t="s">
        <v>150</v>
      </c>
      <c r="K30" s="80" t="s">
        <v>167</v>
      </c>
      <c r="L30" s="88">
        <v>2</v>
      </c>
      <c r="M30" s="88">
        <f t="shared" si="1"/>
        <v>10000</v>
      </c>
      <c r="N30" s="78">
        <v>10100</v>
      </c>
      <c r="O30" s="81" t="s">
        <v>190</v>
      </c>
      <c r="P30" s="82">
        <v>5.9999999999999995E-4</v>
      </c>
      <c r="Q30" s="82">
        <f t="shared" si="2"/>
        <v>6.06</v>
      </c>
      <c r="R30" s="79"/>
      <c r="S30" s="82"/>
    </row>
    <row r="31" spans="1:19" s="74" customFormat="1" ht="15.75" thickBot="1" x14ac:dyDescent="0.3">
      <c r="A31" s="72"/>
      <c r="B31" s="37">
        <f t="shared" si="0"/>
        <v>22</v>
      </c>
      <c r="C31" s="67" t="s">
        <v>12</v>
      </c>
      <c r="D31" s="48" t="s">
        <v>38</v>
      </c>
      <c r="E31" s="49" t="s">
        <v>67</v>
      </c>
      <c r="F31" s="48" t="s">
        <v>89</v>
      </c>
      <c r="G31" s="70" t="s">
        <v>113</v>
      </c>
      <c r="H31" s="48" t="s">
        <v>133</v>
      </c>
      <c r="I31" s="48" t="s">
        <v>205</v>
      </c>
      <c r="J31" s="48" t="s">
        <v>206</v>
      </c>
      <c r="K31" s="61" t="s">
        <v>168</v>
      </c>
      <c r="L31" s="48">
        <v>2</v>
      </c>
      <c r="M31" s="48">
        <f t="shared" si="1"/>
        <v>10000</v>
      </c>
      <c r="N31" s="48">
        <v>10100</v>
      </c>
      <c r="O31" s="69" t="s">
        <v>190</v>
      </c>
      <c r="P31" s="51">
        <v>4.0000000000000002E-4</v>
      </c>
      <c r="Q31" s="51">
        <f t="shared" si="2"/>
        <v>4.04</v>
      </c>
      <c r="R31" s="49"/>
      <c r="S31" s="51"/>
    </row>
    <row r="32" spans="1:19" ht="15.75" thickBot="1" x14ac:dyDescent="0.3">
      <c r="A32" s="1"/>
      <c r="B32" s="76">
        <f>ROW(B32) - ROW($B$9)</f>
        <v>23</v>
      </c>
      <c r="C32" s="77" t="s">
        <v>12</v>
      </c>
      <c r="D32" s="78" t="s">
        <v>39</v>
      </c>
      <c r="E32" s="79" t="s">
        <v>68</v>
      </c>
      <c r="F32" s="78" t="s">
        <v>87</v>
      </c>
      <c r="G32" s="79" t="s">
        <v>114</v>
      </c>
      <c r="H32" s="78" t="s">
        <v>122</v>
      </c>
      <c r="I32" s="78" t="s">
        <v>175</v>
      </c>
      <c r="J32" s="78" t="s">
        <v>151</v>
      </c>
      <c r="K32" s="80" t="s">
        <v>169</v>
      </c>
      <c r="L32" s="88">
        <v>1</v>
      </c>
      <c r="M32" s="88">
        <f t="shared" si="1"/>
        <v>5000</v>
      </c>
      <c r="N32" s="78">
        <v>5100</v>
      </c>
      <c r="O32" s="81" t="s">
        <v>190</v>
      </c>
      <c r="P32" s="82">
        <v>1.1000000000000001E-3</v>
      </c>
      <c r="Q32" s="82">
        <f t="shared" si="2"/>
        <v>5.61</v>
      </c>
      <c r="R32" s="79"/>
      <c r="S32" s="82"/>
    </row>
    <row r="33" spans="1:19" s="74" customFormat="1" ht="60.75" thickBot="1" x14ac:dyDescent="0.3">
      <c r="A33" s="72"/>
      <c r="B33" s="37">
        <f t="shared" si="0"/>
        <v>24</v>
      </c>
      <c r="C33" s="67" t="s">
        <v>13</v>
      </c>
      <c r="D33" s="48" t="s">
        <v>40</v>
      </c>
      <c r="E33" s="49" t="s">
        <v>69</v>
      </c>
      <c r="F33" s="48" t="s">
        <v>189</v>
      </c>
      <c r="G33" s="49" t="s">
        <v>90</v>
      </c>
      <c r="H33" s="48" t="s">
        <v>134</v>
      </c>
      <c r="I33" s="48" t="s">
        <v>175</v>
      </c>
      <c r="J33" s="48" t="s">
        <v>152</v>
      </c>
      <c r="K33" s="61" t="s">
        <v>175</v>
      </c>
      <c r="L33" s="48">
        <v>1</v>
      </c>
      <c r="M33" s="48">
        <f t="shared" si="1"/>
        <v>5000</v>
      </c>
      <c r="N33" s="48">
        <v>5060</v>
      </c>
      <c r="O33" s="69" t="s">
        <v>190</v>
      </c>
      <c r="P33" s="51">
        <v>1.0999999999999999E-2</v>
      </c>
      <c r="Q33" s="51">
        <f t="shared" si="2"/>
        <v>55.66</v>
      </c>
      <c r="R33" s="90" t="s">
        <v>207</v>
      </c>
      <c r="S33" s="51"/>
    </row>
    <row r="34" spans="1:19" s="74" customFormat="1" ht="51.75" thickBot="1" x14ac:dyDescent="0.3">
      <c r="A34" s="72"/>
      <c r="B34" s="37">
        <f>ROW(B34) - ROW($B$9)</f>
        <v>25</v>
      </c>
      <c r="C34" s="66" t="s">
        <v>14</v>
      </c>
      <c r="D34" s="45" t="s">
        <v>41</v>
      </c>
      <c r="E34" s="46" t="s">
        <v>70</v>
      </c>
      <c r="F34" s="45" t="s">
        <v>91</v>
      </c>
      <c r="G34" s="46" t="s">
        <v>115</v>
      </c>
      <c r="H34" s="45" t="s">
        <v>135</v>
      </c>
      <c r="I34" s="45" t="s">
        <v>175</v>
      </c>
      <c r="J34" s="45" t="s">
        <v>153</v>
      </c>
      <c r="K34" s="60" t="s">
        <v>175</v>
      </c>
      <c r="L34" s="64">
        <v>1</v>
      </c>
      <c r="M34" s="64">
        <f t="shared" si="1"/>
        <v>5000</v>
      </c>
      <c r="N34" s="45">
        <v>5020</v>
      </c>
      <c r="O34" s="68" t="s">
        <v>190</v>
      </c>
      <c r="P34" s="50">
        <v>3.3330000000000002</v>
      </c>
      <c r="Q34" s="50">
        <f t="shared" si="2"/>
        <v>16731.66</v>
      </c>
      <c r="R34" s="75" t="s">
        <v>207</v>
      </c>
      <c r="S34" s="50"/>
    </row>
    <row r="35" spans="1:19" s="74" customFormat="1" ht="36.75" thickBot="1" x14ac:dyDescent="0.3">
      <c r="A35" s="72"/>
      <c r="B35" s="37">
        <f t="shared" si="0"/>
        <v>26</v>
      </c>
      <c r="C35" s="67" t="s">
        <v>15</v>
      </c>
      <c r="D35" s="48" t="s">
        <v>42</v>
      </c>
      <c r="E35" s="49" t="s">
        <v>71</v>
      </c>
      <c r="F35" s="48" t="s">
        <v>92</v>
      </c>
      <c r="G35" s="49" t="s">
        <v>116</v>
      </c>
      <c r="H35" s="48" t="s">
        <v>129</v>
      </c>
      <c r="I35" s="48" t="s">
        <v>175</v>
      </c>
      <c r="J35" s="48" t="s">
        <v>154</v>
      </c>
      <c r="K35" s="61" t="s">
        <v>175</v>
      </c>
      <c r="L35" s="48">
        <v>1</v>
      </c>
      <c r="M35" s="48">
        <f t="shared" si="1"/>
        <v>5000</v>
      </c>
      <c r="N35" s="48">
        <v>5030</v>
      </c>
      <c r="O35" s="69" t="s">
        <v>190</v>
      </c>
      <c r="P35" s="51">
        <v>0.16320000000000001</v>
      </c>
      <c r="Q35" s="51">
        <f t="shared" si="2"/>
        <v>820.89600000000007</v>
      </c>
      <c r="R35" s="49"/>
      <c r="S35" s="51"/>
    </row>
    <row r="36" spans="1:19" s="74" customFormat="1" ht="24.75" thickBot="1" x14ac:dyDescent="0.3">
      <c r="A36" s="72"/>
      <c r="B36" s="37">
        <f>ROW(B36) - ROW($B$9)</f>
        <v>27</v>
      </c>
      <c r="C36" s="66" t="s">
        <v>15</v>
      </c>
      <c r="D36" s="45" t="s">
        <v>43</v>
      </c>
      <c r="E36" s="46" t="s">
        <v>72</v>
      </c>
      <c r="F36" s="45" t="s">
        <v>93</v>
      </c>
      <c r="G36" s="46" t="s">
        <v>117</v>
      </c>
      <c r="H36" s="45" t="s">
        <v>129</v>
      </c>
      <c r="I36" s="45" t="s">
        <v>175</v>
      </c>
      <c r="J36" s="45" t="s">
        <v>155</v>
      </c>
      <c r="K36" s="60" t="s">
        <v>175</v>
      </c>
      <c r="L36" s="64">
        <v>1</v>
      </c>
      <c r="M36" s="64">
        <f t="shared" si="1"/>
        <v>5000</v>
      </c>
      <c r="N36" s="45">
        <v>5030</v>
      </c>
      <c r="O36" s="68" t="s">
        <v>190</v>
      </c>
      <c r="P36" s="50">
        <v>0.1172</v>
      </c>
      <c r="Q36" s="50">
        <f t="shared" si="2"/>
        <v>589.51599999999996</v>
      </c>
      <c r="R36" s="46"/>
      <c r="S36" s="50"/>
    </row>
    <row r="37" spans="1:19" s="74" customFormat="1" ht="51.75" thickBot="1" x14ac:dyDescent="0.3">
      <c r="A37" s="72"/>
      <c r="B37" s="37">
        <f t="shared" si="0"/>
        <v>28</v>
      </c>
      <c r="C37" s="67" t="s">
        <v>15</v>
      </c>
      <c r="D37" s="48" t="s">
        <v>44</v>
      </c>
      <c r="E37" s="49" t="s">
        <v>73</v>
      </c>
      <c r="F37" s="48" t="s">
        <v>94</v>
      </c>
      <c r="G37" s="49" t="s">
        <v>118</v>
      </c>
      <c r="H37" s="48" t="s">
        <v>136</v>
      </c>
      <c r="I37" s="48" t="s">
        <v>175</v>
      </c>
      <c r="J37" s="48" t="s">
        <v>156</v>
      </c>
      <c r="K37" s="61" t="s">
        <v>175</v>
      </c>
      <c r="L37" s="65">
        <v>1</v>
      </c>
      <c r="M37" s="48">
        <f t="shared" si="1"/>
        <v>5000</v>
      </c>
      <c r="N37" s="48">
        <v>5030</v>
      </c>
      <c r="O37" s="69" t="s">
        <v>190</v>
      </c>
      <c r="P37" s="51">
        <v>9.6000000000000002E-2</v>
      </c>
      <c r="Q37" s="51">
        <f t="shared" si="2"/>
        <v>482.88</v>
      </c>
      <c r="R37" s="90" t="s">
        <v>207</v>
      </c>
      <c r="S37" s="51"/>
    </row>
    <row r="38" spans="1:19" ht="19.5" thickBot="1" x14ac:dyDescent="0.3">
      <c r="A38" s="1"/>
      <c r="B38" s="32"/>
      <c r="C38" s="43"/>
      <c r="D38" s="33"/>
      <c r="E38" s="34"/>
      <c r="F38" s="35"/>
      <c r="G38" s="36"/>
      <c r="H38" s="35"/>
      <c r="I38" s="36"/>
      <c r="J38" s="35"/>
      <c r="K38" s="36"/>
      <c r="L38" s="63"/>
      <c r="M38" s="36"/>
      <c r="N38" s="99" t="s">
        <v>185</v>
      </c>
      <c r="O38" s="100"/>
      <c r="P38" s="100"/>
      <c r="Q38" s="57">
        <f>SUM(Q10:Q37)</f>
        <v>22341.583000000002</v>
      </c>
      <c r="R38" s="95"/>
      <c r="S38" s="96"/>
    </row>
    <row r="39" spans="1:19" ht="19.5" thickBot="1" x14ac:dyDescent="0.3">
      <c r="A39" s="1"/>
      <c r="B39" s="25"/>
      <c r="C39" s="44"/>
      <c r="D39" s="9"/>
      <c r="E39" s="10"/>
      <c r="F39" s="10"/>
      <c r="G39" s="10"/>
      <c r="H39" s="10"/>
      <c r="I39" s="10"/>
      <c r="J39" s="10"/>
      <c r="K39" s="10"/>
      <c r="L39" s="10"/>
      <c r="M39" s="10"/>
      <c r="N39" s="99" t="s">
        <v>186</v>
      </c>
      <c r="O39" s="100"/>
      <c r="P39" s="100"/>
      <c r="Q39" s="58">
        <f>Q38/5000</f>
        <v>4.4683166000000005</v>
      </c>
      <c r="R39" s="97"/>
      <c r="S39" s="98"/>
    </row>
  </sheetData>
  <mergeCells count="5">
    <mergeCell ref="K1:S1"/>
    <mergeCell ref="S3:S8"/>
    <mergeCell ref="N38:P38"/>
    <mergeCell ref="R38:S39"/>
    <mergeCell ref="N39:P39"/>
  </mergeCells>
  <hyperlinks>
    <hyperlink ref="O10" r:id="rId1" xr:uid="{C0998C9D-808D-453F-A88E-B05E5656ED60}"/>
    <hyperlink ref="O12" r:id="rId2" xr:uid="{49F7A10A-4886-4EBF-9E3B-97119AD15D99}"/>
    <hyperlink ref="O13" r:id="rId3" xr:uid="{188B4110-F02F-4699-8117-E4A3E3020BE9}"/>
    <hyperlink ref="O14" r:id="rId4" xr:uid="{B9D1EBC1-AFD0-489A-8B96-39116DE443E4}"/>
    <hyperlink ref="O16" r:id="rId5" xr:uid="{7ADAFBF2-929C-427C-A223-7A3DC79AA88A}"/>
    <hyperlink ref="O19" r:id="rId6" xr:uid="{40AEB6AF-FCDB-44C1-B55B-A304F2627966}"/>
    <hyperlink ref="O20" r:id="rId7" xr:uid="{9E1DD19F-B45C-4CDE-9989-31677A614178}"/>
    <hyperlink ref="O22" r:id="rId8" xr:uid="{35777828-0BDC-48AA-A7A9-F7A8E68DFC26}"/>
    <hyperlink ref="O26" r:id="rId9" xr:uid="{0BDEA316-3B63-4D49-9D0B-7021045EBBE5}"/>
    <hyperlink ref="O28" r:id="rId10" xr:uid="{1523C799-6FEE-4401-A618-3E502F6F9661}"/>
    <hyperlink ref="O29" r:id="rId11" xr:uid="{3579D16A-9554-4C96-A78D-4EBCFC22394C}"/>
    <hyperlink ref="O30" r:id="rId12" xr:uid="{7CC93527-36AE-4B54-8A34-060899F9BB0D}"/>
    <hyperlink ref="O32" r:id="rId13" xr:uid="{F3232C60-6B76-473D-BE7C-30490F8E18AA}"/>
    <hyperlink ref="O33" r:id="rId14" xr:uid="{5620C896-CB50-42C1-8CF0-C1EADAFD27BA}"/>
    <hyperlink ref="O34" r:id="rId15" xr:uid="{27697CEB-6113-4379-BDD1-7CDFD0532B59}"/>
    <hyperlink ref="O35" r:id="rId16" xr:uid="{97CB3E7D-20AC-45B9-AA15-E43B6BEC306A}"/>
    <hyperlink ref="O36" r:id="rId17" xr:uid="{7AF0D8E2-A85E-4CF9-AD09-51055F4EF83F}"/>
    <hyperlink ref="O37" r:id="rId18" xr:uid="{E8B87B67-1FF7-45CD-9DC7-EA9C3E13540C}"/>
    <hyperlink ref="O11" r:id="rId19" xr:uid="{5A201E8F-2E21-44D4-8CDC-FD8E0483CF34}"/>
    <hyperlink ref="O15" r:id="rId20" xr:uid="{7B80FD7F-D0A3-44ED-AE03-9CB51C53039D}"/>
    <hyperlink ref="O18" r:id="rId21" xr:uid="{574FAF25-A4CC-47F8-B01A-F676D49910B1}"/>
    <hyperlink ref="O27" r:id="rId22" xr:uid="{876685AA-B7B9-4DBF-9393-87B286924B65}"/>
    <hyperlink ref="O23" r:id="rId23" xr:uid="{EE9BB81B-9F6D-4F63-8883-F592F27BDEF8}"/>
    <hyperlink ref="O31" r:id="rId24" xr:uid="{3901A63A-9B6B-4EDA-ACAA-05296D06C4C2}"/>
    <hyperlink ref="O24" r:id="rId25" xr:uid="{7ECCFD6F-457A-4166-85DB-52AD29C48721}"/>
  </hyperlinks>
  <pageMargins left="0.7" right="0.7" top="0.75" bottom="0.75" header="0.3" footer="0.3"/>
  <drawing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 Boards</vt:lpstr>
      <vt:lpstr>1000 Boards</vt:lpstr>
      <vt:lpstr>5000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2022-12-13T07:57:43Z</dcterms:modified>
</cp:coreProperties>
</file>